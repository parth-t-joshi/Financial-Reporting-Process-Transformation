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arth\Downloads\"/>
    </mc:Choice>
  </mc:AlternateContent>
  <xr:revisionPtr revIDLastSave="0" documentId="13_ncr:1_{11BBC27C-2173-46F8-9DD1-14CF8B5059D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91Days pre implementation data" sheetId="4" r:id="rId1"/>
    <sheet name="91Days post implementation data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5" l="1"/>
  <c r="G3" i="5"/>
  <c r="D2" i="5" s="1"/>
  <c r="F8" i="5"/>
  <c r="G2" i="4"/>
  <c r="G3" i="4"/>
  <c r="D2" i="4" s="1"/>
  <c r="F8" i="4"/>
  <c r="D88" i="4"/>
  <c r="E15" i="5" l="1"/>
  <c r="D90" i="5"/>
  <c r="D66" i="5"/>
  <c r="D7" i="5"/>
  <c r="D38" i="5"/>
  <c r="D85" i="5"/>
  <c r="D73" i="5"/>
  <c r="D61" i="5"/>
  <c r="D49" i="5"/>
  <c r="D37" i="5"/>
  <c r="D25" i="5"/>
  <c r="D13" i="5"/>
  <c r="D6" i="5"/>
  <c r="D78" i="5"/>
  <c r="D42" i="5"/>
  <c r="D89" i="5"/>
  <c r="D29" i="5"/>
  <c r="D52" i="5"/>
  <c r="D16" i="5"/>
  <c r="D63" i="5"/>
  <c r="D27" i="5"/>
  <c r="D86" i="5"/>
  <c r="D50" i="5"/>
  <c r="D84" i="5"/>
  <c r="D72" i="5"/>
  <c r="D60" i="5"/>
  <c r="D48" i="5"/>
  <c r="D36" i="5"/>
  <c r="D24" i="5"/>
  <c r="D12" i="5"/>
  <c r="D5" i="5"/>
  <c r="D54" i="5"/>
  <c r="D30" i="5"/>
  <c r="D65" i="5"/>
  <c r="D17" i="5"/>
  <c r="D64" i="5"/>
  <c r="D40" i="5"/>
  <c r="D75" i="5"/>
  <c r="D39" i="5"/>
  <c r="D14" i="5"/>
  <c r="D83" i="5"/>
  <c r="D71" i="5"/>
  <c r="D59" i="5"/>
  <c r="D47" i="5"/>
  <c r="D35" i="5"/>
  <c r="D23" i="5"/>
  <c r="D4" i="5"/>
  <c r="D18" i="5"/>
  <c r="D77" i="5"/>
  <c r="D41" i="5"/>
  <c r="D76" i="5"/>
  <c r="D28" i="5"/>
  <c r="D87" i="5"/>
  <c r="D51" i="5"/>
  <c r="D74" i="5"/>
  <c r="D26" i="5"/>
  <c r="D82" i="5"/>
  <c r="D70" i="5"/>
  <c r="D58" i="5"/>
  <c r="D46" i="5"/>
  <c r="D34" i="5"/>
  <c r="D22" i="5"/>
  <c r="D11" i="5"/>
  <c r="D81" i="5"/>
  <c r="D69" i="5"/>
  <c r="D57" i="5"/>
  <c r="D45" i="5"/>
  <c r="D33" i="5"/>
  <c r="D21" i="5"/>
  <c r="D3" i="5"/>
  <c r="D9" i="5"/>
  <c r="D53" i="5"/>
  <c r="D88" i="5"/>
  <c r="D8" i="5"/>
  <c r="D15" i="5"/>
  <c r="D62" i="5"/>
  <c r="D92" i="5"/>
  <c r="D80" i="5"/>
  <c r="D68" i="5"/>
  <c r="D56" i="5"/>
  <c r="D44" i="5"/>
  <c r="D32" i="5"/>
  <c r="D20" i="5"/>
  <c r="D10" i="5"/>
  <c r="D91" i="5"/>
  <c r="D79" i="5"/>
  <c r="D67" i="5"/>
  <c r="D55" i="5"/>
  <c r="D43" i="5"/>
  <c r="D31" i="5"/>
  <c r="D19" i="5"/>
  <c r="D92" i="4"/>
  <c r="D44" i="4"/>
  <c r="D10" i="4"/>
  <c r="D66" i="4"/>
  <c r="D18" i="4"/>
  <c r="D89" i="4"/>
  <c r="D53" i="4"/>
  <c r="D29" i="4"/>
  <c r="D52" i="4"/>
  <c r="D8" i="4"/>
  <c r="D87" i="4"/>
  <c r="D63" i="4"/>
  <c r="D39" i="4"/>
  <c r="D15" i="4"/>
  <c r="D74" i="4"/>
  <c r="D50" i="4"/>
  <c r="D38" i="4"/>
  <c r="D26" i="4"/>
  <c r="D14" i="4"/>
  <c r="D7" i="4"/>
  <c r="D80" i="4"/>
  <c r="D56" i="4"/>
  <c r="D20" i="4"/>
  <c r="D90" i="4"/>
  <c r="D54" i="4"/>
  <c r="D30" i="4"/>
  <c r="D77" i="4"/>
  <c r="D41" i="4"/>
  <c r="D76" i="4"/>
  <c r="D16" i="4"/>
  <c r="D75" i="4"/>
  <c r="D51" i="4"/>
  <c r="D27" i="4"/>
  <c r="D86" i="4"/>
  <c r="D62" i="4"/>
  <c r="D85" i="4"/>
  <c r="D73" i="4"/>
  <c r="D61" i="4"/>
  <c r="D49" i="4"/>
  <c r="D37" i="4"/>
  <c r="D25" i="4"/>
  <c r="D13" i="4"/>
  <c r="D6" i="4"/>
  <c r="D68" i="4"/>
  <c r="D32" i="4"/>
  <c r="D78" i="4"/>
  <c r="D42" i="4"/>
  <c r="D9" i="4"/>
  <c r="D65" i="4"/>
  <c r="D17" i="4"/>
  <c r="D40" i="4"/>
  <c r="D72" i="4"/>
  <c r="D60" i="4"/>
  <c r="D48" i="4"/>
  <c r="D36" i="4"/>
  <c r="D24" i="4"/>
  <c r="D12" i="4"/>
  <c r="D5" i="4"/>
  <c r="D83" i="4"/>
  <c r="D71" i="4"/>
  <c r="D59" i="4"/>
  <c r="D47" i="4"/>
  <c r="D35" i="4"/>
  <c r="D23" i="4"/>
  <c r="D4" i="4"/>
  <c r="D64" i="4"/>
  <c r="D28" i="4"/>
  <c r="D84" i="4"/>
  <c r="D82" i="4"/>
  <c r="D70" i="4"/>
  <c r="D58" i="4"/>
  <c r="D46" i="4"/>
  <c r="D34" i="4"/>
  <c r="D22" i="4"/>
  <c r="D11" i="4"/>
  <c r="D81" i="4"/>
  <c r="D69" i="4"/>
  <c r="D57" i="4"/>
  <c r="D45" i="4"/>
  <c r="D33" i="4"/>
  <c r="D21" i="4"/>
  <c r="D3" i="4"/>
  <c r="F7" i="4" s="1"/>
  <c r="F9" i="4" s="1"/>
  <c r="D91" i="4"/>
  <c r="D79" i="4"/>
  <c r="D67" i="4"/>
  <c r="D55" i="4"/>
  <c r="D43" i="4"/>
  <c r="D31" i="4"/>
  <c r="D19" i="4"/>
  <c r="F7" i="5" l="1"/>
  <c r="F9" i="5" s="1"/>
  <c r="F10" i="4"/>
  <c r="F11" i="4"/>
  <c r="F11" i="5" l="1"/>
  <c r="F10" i="5"/>
  <c r="E23" i="5" s="1"/>
</calcChain>
</file>

<file path=xl/sharedStrings.xml><?xml version="1.0" encoding="utf-8"?>
<sst xmlns="http://schemas.openxmlformats.org/spreadsheetml/2006/main" count="212" uniqueCount="21">
  <si>
    <t>Date</t>
  </si>
  <si>
    <t>Daily_Reporting_Latency_Hours</t>
  </si>
  <si>
    <t>Operational_Phase</t>
  </si>
  <si>
    <t>Historical Baseline Run-Rate</t>
  </si>
  <si>
    <t>Pre-Implementation Crisis Spike</t>
  </si>
  <si>
    <t>Post-Implementation Control (Go-Live)</t>
  </si>
  <si>
    <t>Post-Implementation Control</t>
  </si>
  <si>
    <t>Post-Implementation Control (Current)</t>
  </si>
  <si>
    <t>p50</t>
  </si>
  <si>
    <t>p25</t>
  </si>
  <si>
    <t>target</t>
  </si>
  <si>
    <t>To reduce current median DRL from 1.14 to 1.005 by 3 months.</t>
  </si>
  <si>
    <t>Goal</t>
  </si>
  <si>
    <t xml:space="preserve">Problem </t>
  </si>
  <si>
    <t>NCs</t>
  </si>
  <si>
    <t>Total Days</t>
  </si>
  <si>
    <t>DPO</t>
  </si>
  <si>
    <t>DPMO/PPM</t>
  </si>
  <si>
    <t>SIGMA SCORE</t>
  </si>
  <si>
    <t>HISTORICAL DATA ANALYSIS</t>
  </si>
  <si>
    <t>There are 68 days out of 91 days, where performance is lower than statistical goal. i.e. NC = 74.72%; with DPMO value of 747252.7 and sigma score of -0.66587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</si>
</sst>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"/>
    <numFmt numFmtId="168" formatCode="0.000"/>
  </numFmts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68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1ABC6-773A-44A5-979B-9B4EA9E06BE8}">
  <we:reference id="wa200010215" version="2.0.0.0" store="en-US" storeType="OMEX"/>
  <we:alternateReferences>
    <we:reference id="WA200010215" version="2.0.0.0" store="" storeType="OMEX"/>
  </we:alternateReferences>
  <we:properties>
    <we:property name="bps.codex_control.document_id" value="&quot;25ed40f6-fa98-4a41-8e7e-13e5cf33ca7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084-2C14-4314-A88A-1435EDCDDC4F}">
  <dimension ref="A1:L92"/>
  <sheetViews>
    <sheetView workbookViewId="0">
      <selection activeCell="E15" sqref="E15:K15"/>
    </sheetView>
  </sheetViews>
  <sheetFormatPr defaultRowHeight="15" x14ac:dyDescent="0.25"/>
  <cols>
    <col min="1" max="1" width="10.42578125" style="2" bestFit="1" customWidth="1"/>
    <col min="2" max="2" width="28.85546875" style="2" bestFit="1" customWidth="1"/>
    <col min="3" max="3" width="32.5703125" style="2" bestFit="1" customWidth="1"/>
    <col min="4" max="4" width="16.85546875" style="2" customWidth="1"/>
    <col min="5" max="5" width="26.42578125" style="2" bestFit="1" customWidth="1"/>
    <col min="6" max="12" width="9.140625" style="2"/>
  </cols>
  <sheetData>
    <row r="1" spans="1:11" x14ac:dyDescent="0.25">
      <c r="A1" s="2" t="s">
        <v>0</v>
      </c>
      <c r="B1" s="2" t="s">
        <v>1</v>
      </c>
      <c r="C1" s="2" t="s">
        <v>2</v>
      </c>
    </row>
    <row r="2" spans="1:11" x14ac:dyDescent="0.25">
      <c r="A2" s="1">
        <v>46036</v>
      </c>
      <c r="B2" s="2">
        <v>1.25</v>
      </c>
      <c r="C2" s="2" t="s">
        <v>3</v>
      </c>
      <c r="D2" s="2" t="str">
        <f>IF(B2&gt;$G$3,"NC","C")</f>
        <v>NC</v>
      </c>
      <c r="F2" s="2" t="s">
        <v>8</v>
      </c>
      <c r="G2" s="2">
        <f>PERCENTILE(B2:B92,0.5)</f>
        <v>1.1399999999999999</v>
      </c>
    </row>
    <row r="3" spans="1:11" x14ac:dyDescent="0.25">
      <c r="A3" s="1">
        <v>46037</v>
      </c>
      <c r="B3" s="2">
        <v>1.1599999999999999</v>
      </c>
      <c r="C3" s="2" t="s">
        <v>3</v>
      </c>
      <c r="D3" s="2" t="str">
        <f>IF(B3&gt;$G$3,"NC","C")</f>
        <v>NC</v>
      </c>
      <c r="F3" s="2" t="s">
        <v>9</v>
      </c>
      <c r="G3" s="2">
        <f>PERCENTILE(B2:B92,0.25)</f>
        <v>1.0049999999999999</v>
      </c>
      <c r="H3" s="2" t="s">
        <v>10</v>
      </c>
    </row>
    <row r="4" spans="1:11" x14ac:dyDescent="0.25">
      <c r="A4" s="1">
        <v>46038</v>
      </c>
      <c r="B4" s="2">
        <v>1.28</v>
      </c>
      <c r="C4" s="2" t="s">
        <v>3</v>
      </c>
      <c r="D4" s="2" t="str">
        <f>IF(B4&gt;$G$3,"NC","C")</f>
        <v>NC</v>
      </c>
    </row>
    <row r="5" spans="1:11" x14ac:dyDescent="0.25">
      <c r="A5" s="1">
        <v>46039</v>
      </c>
      <c r="B5" s="2">
        <v>1.41</v>
      </c>
      <c r="C5" s="2" t="s">
        <v>3</v>
      </c>
      <c r="D5" s="2" t="str">
        <f>IF(B5&gt;$G$3,"NC","C")</f>
        <v>NC</v>
      </c>
    </row>
    <row r="6" spans="1:11" x14ac:dyDescent="0.25">
      <c r="A6" s="1">
        <v>46040</v>
      </c>
      <c r="B6" s="2">
        <v>1.1399999999999999</v>
      </c>
      <c r="C6" s="2" t="s">
        <v>3</v>
      </c>
      <c r="D6" s="2" t="str">
        <f>IF(B6&gt;$G$3,"NC","C")</f>
        <v>NC</v>
      </c>
      <c r="E6" s="12" t="s">
        <v>19</v>
      </c>
      <c r="F6" s="12"/>
    </row>
    <row r="7" spans="1:11" x14ac:dyDescent="0.25">
      <c r="A7" s="1">
        <v>46041</v>
      </c>
      <c r="B7" s="2">
        <v>1.1399999999999999</v>
      </c>
      <c r="C7" s="2" t="s">
        <v>3</v>
      </c>
      <c r="D7" s="2" t="str">
        <f>IF(B7&gt;$G$3,"NC","C")</f>
        <v>NC</v>
      </c>
      <c r="E7" s="2" t="s">
        <v>14</v>
      </c>
      <c r="F7" s="2">
        <f>COUNTIF(D2:D92,"NC")</f>
        <v>68</v>
      </c>
    </row>
    <row r="8" spans="1:11" x14ac:dyDescent="0.25">
      <c r="A8" s="1">
        <v>46042</v>
      </c>
      <c r="B8" s="2">
        <v>1.42</v>
      </c>
      <c r="C8" s="2" t="s">
        <v>3</v>
      </c>
      <c r="D8" s="2" t="str">
        <f>IF(B8&gt;$G$3,"NC","C")</f>
        <v>NC</v>
      </c>
      <c r="E8" s="2" t="s">
        <v>15</v>
      </c>
      <c r="F8" s="2">
        <f>COUNT(A2:A92)</f>
        <v>91</v>
      </c>
    </row>
    <row r="9" spans="1:11" x14ac:dyDescent="0.25">
      <c r="A9" s="1">
        <v>46043</v>
      </c>
      <c r="B9" s="2">
        <v>1.3</v>
      </c>
      <c r="C9" s="2" t="s">
        <v>3</v>
      </c>
      <c r="D9" s="2" t="str">
        <f>IF(B9&gt;$G$3,"NC","C")</f>
        <v>NC</v>
      </c>
      <c r="E9" s="2" t="s">
        <v>16</v>
      </c>
      <c r="F9" s="2">
        <f>F7/F8</f>
        <v>0.74725274725274726</v>
      </c>
    </row>
    <row r="10" spans="1:11" x14ac:dyDescent="0.25">
      <c r="A10" s="1">
        <v>46044</v>
      </c>
      <c r="B10" s="2">
        <v>1.1100000000000001</v>
      </c>
      <c r="C10" s="2" t="s">
        <v>3</v>
      </c>
      <c r="D10" s="2" t="str">
        <f>IF(B10&gt;$G$3,"NC","C")</f>
        <v>NC</v>
      </c>
      <c r="E10" s="2" t="s">
        <v>17</v>
      </c>
      <c r="F10" s="2">
        <f>F9*1000000</f>
        <v>747252.7472527473</v>
      </c>
    </row>
    <row r="11" spans="1:11" x14ac:dyDescent="0.25">
      <c r="A11" s="1">
        <v>46045</v>
      </c>
      <c r="B11" s="2">
        <v>1.26</v>
      </c>
      <c r="C11" s="2" t="s">
        <v>3</v>
      </c>
      <c r="D11" s="2" t="str">
        <f>IF(B11&gt;$G$3,"NC","C")</f>
        <v>NC</v>
      </c>
      <c r="E11" s="2" t="s">
        <v>18</v>
      </c>
      <c r="F11" s="2">
        <f>NORMSINV(1-F9)</f>
        <v>-0.66586951800104843</v>
      </c>
    </row>
    <row r="12" spans="1:11" x14ac:dyDescent="0.25">
      <c r="A12" s="1">
        <v>46046</v>
      </c>
      <c r="B12" s="2">
        <v>1.1100000000000001</v>
      </c>
      <c r="C12" s="2" t="s">
        <v>3</v>
      </c>
      <c r="D12" s="2" t="str">
        <f>IF(B12&gt;$G$3,"NC","C")</f>
        <v>NC</v>
      </c>
    </row>
    <row r="13" spans="1:11" ht="15.75" thickBot="1" x14ac:dyDescent="0.3">
      <c r="A13" s="1">
        <v>46047</v>
      </c>
      <c r="B13" s="2">
        <v>1.1100000000000001</v>
      </c>
      <c r="C13" s="2" t="s">
        <v>3</v>
      </c>
      <c r="D13" s="2" t="str">
        <f>IF(B13&gt;$G$3,"NC","C")</f>
        <v>NC</v>
      </c>
    </row>
    <row r="14" spans="1:11" ht="22.5" customHeight="1" thickBot="1" x14ac:dyDescent="0.3">
      <c r="A14" s="1">
        <v>46048</v>
      </c>
      <c r="B14" s="2">
        <v>1.22</v>
      </c>
      <c r="C14" s="2" t="s">
        <v>3</v>
      </c>
      <c r="D14" s="2" t="str">
        <f>IF(B14&gt;$G$3,"NC","C")</f>
        <v>NC</v>
      </c>
      <c r="E14" s="16" t="s">
        <v>12</v>
      </c>
      <c r="F14" s="17"/>
      <c r="G14" s="17"/>
      <c r="H14" s="17"/>
      <c r="I14" s="17"/>
      <c r="J14" s="17"/>
      <c r="K14" s="18"/>
    </row>
    <row r="15" spans="1:11" ht="15.75" thickBot="1" x14ac:dyDescent="0.3">
      <c r="A15" s="1">
        <v>46049</v>
      </c>
      <c r="B15" s="2">
        <v>0.89</v>
      </c>
      <c r="C15" s="2" t="s">
        <v>3</v>
      </c>
      <c r="D15" s="2" t="str">
        <f>IF(B15&gt;$G$3,"NC","C")</f>
        <v>C</v>
      </c>
      <c r="E15" s="13" t="s">
        <v>11</v>
      </c>
      <c r="F15" s="14"/>
      <c r="G15" s="14"/>
      <c r="H15" s="14"/>
      <c r="I15" s="14"/>
      <c r="J15" s="14"/>
      <c r="K15" s="15"/>
    </row>
    <row r="16" spans="1:11" x14ac:dyDescent="0.25">
      <c r="A16" s="1">
        <v>46050</v>
      </c>
      <c r="B16" s="2">
        <v>0.92</v>
      </c>
      <c r="C16" s="2" t="s">
        <v>3</v>
      </c>
      <c r="D16" s="2" t="str">
        <f>IF(B16&gt;$G$3,"NC","C")</f>
        <v>C</v>
      </c>
    </row>
    <row r="17" spans="1:11" ht="15.75" thickBot="1" x14ac:dyDescent="0.3">
      <c r="A17" s="1">
        <v>46051</v>
      </c>
      <c r="B17" s="2">
        <v>1.1000000000000001</v>
      </c>
      <c r="C17" s="2" t="s">
        <v>3</v>
      </c>
      <c r="D17" s="2" t="str">
        <f>IF(B17&gt;$G$3,"NC","C")</f>
        <v>NC</v>
      </c>
    </row>
    <row r="18" spans="1:11" ht="23.25" customHeight="1" thickBot="1" x14ac:dyDescent="0.3">
      <c r="A18" s="1">
        <v>46052</v>
      </c>
      <c r="B18" s="2">
        <v>1.03</v>
      </c>
      <c r="C18" s="2" t="s">
        <v>3</v>
      </c>
      <c r="D18" s="2" t="str">
        <f>IF(B18&gt;$G$3,"NC","C")</f>
        <v>NC</v>
      </c>
      <c r="E18" s="16" t="s">
        <v>13</v>
      </c>
      <c r="F18" s="17"/>
      <c r="G18" s="17"/>
      <c r="H18" s="17"/>
      <c r="I18" s="17"/>
      <c r="J18" s="17"/>
      <c r="K18" s="18"/>
    </row>
    <row r="19" spans="1:11" x14ac:dyDescent="0.25">
      <c r="A19" s="1">
        <v>46053</v>
      </c>
      <c r="B19" s="2">
        <v>1.23</v>
      </c>
      <c r="C19" s="2" t="s">
        <v>3</v>
      </c>
      <c r="D19" s="2" t="str">
        <f>IF(B19&gt;$G$3,"NC","C")</f>
        <v>NC</v>
      </c>
      <c r="E19" s="3" t="s">
        <v>20</v>
      </c>
      <c r="F19" s="4"/>
      <c r="G19" s="4"/>
      <c r="H19" s="4"/>
      <c r="I19" s="4"/>
      <c r="J19" s="4"/>
      <c r="K19" s="5"/>
    </row>
    <row r="20" spans="1:11" x14ac:dyDescent="0.25">
      <c r="A20" s="1">
        <v>46054</v>
      </c>
      <c r="B20" s="2">
        <v>1.04</v>
      </c>
      <c r="C20" s="2" t="s">
        <v>3</v>
      </c>
      <c r="D20" s="2" t="str">
        <f>IF(B20&gt;$G$3,"NC","C")</f>
        <v>NC</v>
      </c>
      <c r="E20" s="6"/>
      <c r="F20" s="20"/>
      <c r="G20" s="20"/>
      <c r="H20" s="20"/>
      <c r="I20" s="20"/>
      <c r="J20" s="20"/>
      <c r="K20" s="8"/>
    </row>
    <row r="21" spans="1:11" x14ac:dyDescent="0.25">
      <c r="A21" s="1">
        <v>46055</v>
      </c>
      <c r="B21" s="2">
        <v>0.97</v>
      </c>
      <c r="C21" s="2" t="s">
        <v>3</v>
      </c>
      <c r="D21" s="2" t="str">
        <f>IF(B21&gt;$G$3,"NC","C")</f>
        <v>C</v>
      </c>
      <c r="E21" s="6"/>
      <c r="F21" s="20"/>
      <c r="G21" s="20"/>
      <c r="H21" s="20"/>
      <c r="I21" s="20"/>
      <c r="J21" s="20"/>
      <c r="K21" s="8"/>
    </row>
    <row r="22" spans="1:11" x14ac:dyDescent="0.25">
      <c r="A22" s="1">
        <v>46056</v>
      </c>
      <c r="B22" s="2">
        <v>1.4</v>
      </c>
      <c r="C22" s="2" t="s">
        <v>3</v>
      </c>
      <c r="D22" s="2" t="str">
        <f>IF(B22&gt;$G$3,"NC","C")</f>
        <v>NC</v>
      </c>
      <c r="E22" s="6"/>
      <c r="F22" s="20"/>
      <c r="G22" s="20"/>
      <c r="H22" s="20"/>
      <c r="I22" s="20"/>
      <c r="J22" s="20"/>
      <c r="K22" s="8"/>
    </row>
    <row r="23" spans="1:11" ht="15.75" thickBot="1" x14ac:dyDescent="0.3">
      <c r="A23" s="1">
        <v>46057</v>
      </c>
      <c r="B23" s="2">
        <v>1.1499999999999999</v>
      </c>
      <c r="C23" s="2" t="s">
        <v>3</v>
      </c>
      <c r="D23" s="2" t="str">
        <f>IF(B23&gt;$G$3,"NC","C")</f>
        <v>NC</v>
      </c>
      <c r="E23" s="9"/>
      <c r="F23" s="10"/>
      <c r="G23" s="10"/>
      <c r="H23" s="10"/>
      <c r="I23" s="10"/>
      <c r="J23" s="10"/>
      <c r="K23" s="11"/>
    </row>
    <row r="24" spans="1:11" x14ac:dyDescent="0.25">
      <c r="A24" s="1">
        <v>46058</v>
      </c>
      <c r="B24" s="2">
        <v>1.19</v>
      </c>
      <c r="C24" s="2" t="s">
        <v>3</v>
      </c>
      <c r="D24" s="2" t="str">
        <f>IF(B24&gt;$G$3,"NC","C")</f>
        <v>NC</v>
      </c>
    </row>
    <row r="25" spans="1:11" x14ac:dyDescent="0.25">
      <c r="A25" s="1">
        <v>46059</v>
      </c>
      <c r="B25" s="2">
        <v>0.97</v>
      </c>
      <c r="C25" s="2" t="s">
        <v>3</v>
      </c>
      <c r="D25" s="2" t="str">
        <f>IF(B25&gt;$G$3,"NC","C")</f>
        <v>C</v>
      </c>
    </row>
    <row r="26" spans="1:11" x14ac:dyDescent="0.25">
      <c r="A26" s="1">
        <v>46060</v>
      </c>
      <c r="B26" s="2">
        <v>1.1000000000000001</v>
      </c>
      <c r="C26" s="2" t="s">
        <v>3</v>
      </c>
      <c r="D26" s="2" t="str">
        <f>IF(B26&gt;$G$3,"NC","C")</f>
        <v>NC</v>
      </c>
    </row>
    <row r="27" spans="1:11" x14ac:dyDescent="0.25">
      <c r="A27" s="1">
        <v>46061</v>
      </c>
      <c r="B27" s="2">
        <v>1.2</v>
      </c>
      <c r="C27" s="2" t="s">
        <v>3</v>
      </c>
      <c r="D27" s="2" t="str">
        <f>IF(B27&gt;$G$3,"NC","C")</f>
        <v>NC</v>
      </c>
    </row>
    <row r="28" spans="1:11" x14ac:dyDescent="0.25">
      <c r="A28" s="1">
        <v>46062</v>
      </c>
      <c r="B28" s="2">
        <v>1.01</v>
      </c>
      <c r="C28" s="2" t="s">
        <v>3</v>
      </c>
      <c r="D28" s="2" t="str">
        <f>IF(B28&gt;$G$3,"NC","C")</f>
        <v>NC</v>
      </c>
    </row>
    <row r="29" spans="1:11" x14ac:dyDescent="0.25">
      <c r="A29" s="1">
        <v>46063</v>
      </c>
      <c r="B29" s="2">
        <v>1.24</v>
      </c>
      <c r="C29" s="2" t="s">
        <v>3</v>
      </c>
      <c r="D29" s="2" t="str">
        <f>IF(B29&gt;$G$3,"NC","C")</f>
        <v>NC</v>
      </c>
    </row>
    <row r="30" spans="1:11" x14ac:dyDescent="0.25">
      <c r="A30" s="1">
        <v>46064</v>
      </c>
      <c r="B30" s="2">
        <v>1.0900000000000001</v>
      </c>
      <c r="C30" s="2" t="s">
        <v>3</v>
      </c>
      <c r="D30" s="2" t="str">
        <f>IF(B30&gt;$G$3,"NC","C")</f>
        <v>NC</v>
      </c>
    </row>
    <row r="31" spans="1:11" x14ac:dyDescent="0.25">
      <c r="A31" s="1">
        <v>46065</v>
      </c>
      <c r="B31" s="2">
        <v>1.1399999999999999</v>
      </c>
      <c r="C31" s="2" t="s">
        <v>3</v>
      </c>
      <c r="D31" s="2" t="str">
        <f>IF(B31&gt;$G$3,"NC","C")</f>
        <v>NC</v>
      </c>
    </row>
    <row r="32" spans="1:11" x14ac:dyDescent="0.25">
      <c r="A32" s="1">
        <v>46066</v>
      </c>
      <c r="B32" s="2">
        <v>1.0900000000000001</v>
      </c>
      <c r="C32" s="2" t="s">
        <v>3</v>
      </c>
      <c r="D32" s="2" t="str">
        <f>IF(B32&gt;$G$3,"NC","C")</f>
        <v>NC</v>
      </c>
    </row>
    <row r="33" spans="1:4" x14ac:dyDescent="0.25">
      <c r="A33" s="1">
        <v>46067</v>
      </c>
      <c r="B33" s="2">
        <v>1.46</v>
      </c>
      <c r="C33" s="2" t="s">
        <v>3</v>
      </c>
      <c r="D33" s="2" t="str">
        <f>IF(B33&gt;$G$3,"NC","C")</f>
        <v>NC</v>
      </c>
    </row>
    <row r="34" spans="1:4" x14ac:dyDescent="0.25">
      <c r="A34" s="1">
        <v>46068</v>
      </c>
      <c r="B34" s="2">
        <v>1.18</v>
      </c>
      <c r="C34" s="2" t="s">
        <v>3</v>
      </c>
      <c r="D34" s="2" t="str">
        <f>IF(B34&gt;$G$3,"NC","C")</f>
        <v>NC</v>
      </c>
    </row>
    <row r="35" spans="1:4" x14ac:dyDescent="0.25">
      <c r="A35" s="1">
        <v>46069</v>
      </c>
      <c r="B35" s="2">
        <v>1.02</v>
      </c>
      <c r="C35" s="2" t="s">
        <v>3</v>
      </c>
      <c r="D35" s="2" t="str">
        <f>IF(B35&gt;$G$3,"NC","C")</f>
        <v>NC</v>
      </c>
    </row>
    <row r="36" spans="1:4" x14ac:dyDescent="0.25">
      <c r="A36" s="1">
        <v>46070</v>
      </c>
      <c r="B36" s="2">
        <v>1.3</v>
      </c>
      <c r="C36" s="2" t="s">
        <v>3</v>
      </c>
      <c r="D36" s="2" t="str">
        <f>IF(B36&gt;$G$3,"NC","C")</f>
        <v>NC</v>
      </c>
    </row>
    <row r="37" spans="1:4" x14ac:dyDescent="0.25">
      <c r="A37" s="1">
        <v>46071</v>
      </c>
      <c r="B37" s="2">
        <v>1</v>
      </c>
      <c r="C37" s="2" t="s">
        <v>3</v>
      </c>
      <c r="D37" s="2" t="str">
        <f>IF(B37&gt;$G$3,"NC","C")</f>
        <v>C</v>
      </c>
    </row>
    <row r="38" spans="1:4" x14ac:dyDescent="0.25">
      <c r="A38" s="1">
        <v>46072</v>
      </c>
      <c r="B38" s="2">
        <v>1.21</v>
      </c>
      <c r="C38" s="2" t="s">
        <v>3</v>
      </c>
      <c r="D38" s="2" t="str">
        <f>IF(B38&gt;$G$3,"NC","C")</f>
        <v>NC</v>
      </c>
    </row>
    <row r="39" spans="1:4" x14ac:dyDescent="0.25">
      <c r="A39" s="1">
        <v>46073</v>
      </c>
      <c r="B39" s="2">
        <v>0.89</v>
      </c>
      <c r="C39" s="2" t="s">
        <v>3</v>
      </c>
      <c r="D39" s="2" t="str">
        <f>IF(B39&gt;$G$3,"NC","C")</f>
        <v>C</v>
      </c>
    </row>
    <row r="40" spans="1:4" x14ac:dyDescent="0.25">
      <c r="A40" s="1">
        <v>46074</v>
      </c>
      <c r="B40" s="2">
        <v>0.98</v>
      </c>
      <c r="C40" s="2" t="s">
        <v>3</v>
      </c>
      <c r="D40" s="2" t="str">
        <f>IF(B40&gt;$G$3,"NC","C")</f>
        <v>C</v>
      </c>
    </row>
    <row r="41" spans="1:4" x14ac:dyDescent="0.25">
      <c r="A41" s="1">
        <v>46075</v>
      </c>
      <c r="B41" s="2">
        <v>1.21</v>
      </c>
      <c r="C41" s="2" t="s">
        <v>3</v>
      </c>
      <c r="D41" s="2" t="str">
        <f>IF(B41&gt;$G$3,"NC","C")</f>
        <v>NC</v>
      </c>
    </row>
    <row r="42" spans="1:4" x14ac:dyDescent="0.25">
      <c r="A42" s="1">
        <v>46076</v>
      </c>
      <c r="B42" s="2">
        <v>1.29</v>
      </c>
      <c r="C42" s="2" t="s">
        <v>3</v>
      </c>
      <c r="D42" s="2" t="str">
        <f>IF(B42&gt;$G$3,"NC","C")</f>
        <v>NC</v>
      </c>
    </row>
    <row r="43" spans="1:4" x14ac:dyDescent="0.25">
      <c r="A43" s="1">
        <v>46077</v>
      </c>
      <c r="B43" s="2">
        <v>1.21</v>
      </c>
      <c r="C43" s="2" t="s">
        <v>3</v>
      </c>
      <c r="D43" s="2" t="str">
        <f>IF(B43&gt;$G$3,"NC","C")</f>
        <v>NC</v>
      </c>
    </row>
    <row r="44" spans="1:4" x14ac:dyDescent="0.25">
      <c r="A44" s="1">
        <v>46078</v>
      </c>
      <c r="B44" s="2">
        <v>1.1599999999999999</v>
      </c>
      <c r="C44" s="2" t="s">
        <v>3</v>
      </c>
      <c r="D44" s="2" t="str">
        <f>IF(B44&gt;$G$3,"NC","C")</f>
        <v>NC</v>
      </c>
    </row>
    <row r="45" spans="1:4" x14ac:dyDescent="0.25">
      <c r="A45" s="1">
        <v>46079</v>
      </c>
      <c r="B45" s="2">
        <v>1.1299999999999999</v>
      </c>
      <c r="C45" s="2" t="s">
        <v>3</v>
      </c>
      <c r="D45" s="2" t="str">
        <f>IF(B45&gt;$G$3,"NC","C")</f>
        <v>NC</v>
      </c>
    </row>
    <row r="46" spans="1:4" x14ac:dyDescent="0.25">
      <c r="A46" s="1">
        <v>46080</v>
      </c>
      <c r="B46" s="2">
        <v>0.96</v>
      </c>
      <c r="C46" s="2" t="s">
        <v>3</v>
      </c>
      <c r="D46" s="2" t="str">
        <f>IF(B46&gt;$G$3,"NC","C")</f>
        <v>C</v>
      </c>
    </row>
    <row r="47" spans="1:4" x14ac:dyDescent="0.25">
      <c r="A47" s="1">
        <v>46081</v>
      </c>
      <c r="B47" s="2">
        <v>1.07</v>
      </c>
      <c r="C47" s="2" t="s">
        <v>3</v>
      </c>
      <c r="D47" s="2" t="str">
        <f>IF(B47&gt;$G$3,"NC","C")</f>
        <v>NC</v>
      </c>
    </row>
    <row r="48" spans="1:4" x14ac:dyDescent="0.25">
      <c r="A48" s="1">
        <v>46082</v>
      </c>
      <c r="B48" s="2">
        <v>1.1100000000000001</v>
      </c>
      <c r="C48" s="2" t="s">
        <v>3</v>
      </c>
      <c r="D48" s="2" t="str">
        <f>IF(B48&gt;$G$3,"NC","C")</f>
        <v>NC</v>
      </c>
    </row>
    <row r="49" spans="1:4" x14ac:dyDescent="0.25">
      <c r="A49" s="1">
        <v>46083</v>
      </c>
      <c r="B49" s="2">
        <v>1.34</v>
      </c>
      <c r="C49" s="2" t="s">
        <v>3</v>
      </c>
      <c r="D49" s="2" t="str">
        <f>IF(B49&gt;$G$3,"NC","C")</f>
        <v>NC</v>
      </c>
    </row>
    <row r="50" spans="1:4" x14ac:dyDescent="0.25">
      <c r="A50" s="1">
        <v>46084</v>
      </c>
      <c r="B50" s="2">
        <v>1.23</v>
      </c>
      <c r="C50" s="2" t="s">
        <v>3</v>
      </c>
      <c r="D50" s="2" t="str">
        <f>IF(B50&gt;$G$3,"NC","C")</f>
        <v>NC</v>
      </c>
    </row>
    <row r="51" spans="1:4" x14ac:dyDescent="0.25">
      <c r="A51" s="1">
        <v>46085</v>
      </c>
      <c r="B51" s="2">
        <v>0.92</v>
      </c>
      <c r="C51" s="2" t="s">
        <v>3</v>
      </c>
      <c r="D51" s="2" t="str">
        <f>IF(B51&gt;$G$3,"NC","C")</f>
        <v>C</v>
      </c>
    </row>
    <row r="52" spans="1:4" x14ac:dyDescent="0.25">
      <c r="A52" s="1">
        <v>46086</v>
      </c>
      <c r="B52" s="2">
        <v>1.23</v>
      </c>
      <c r="C52" s="2" t="s">
        <v>3</v>
      </c>
      <c r="D52" s="2" t="str">
        <f>IF(B52&gt;$G$3,"NC","C")</f>
        <v>NC</v>
      </c>
    </row>
    <row r="53" spans="1:4" x14ac:dyDescent="0.25">
      <c r="A53" s="1">
        <v>46087</v>
      </c>
      <c r="B53" s="2">
        <v>1.1200000000000001</v>
      </c>
      <c r="C53" s="2" t="s">
        <v>3</v>
      </c>
      <c r="D53" s="2" t="str">
        <f>IF(B53&gt;$G$3,"NC","C")</f>
        <v>NC</v>
      </c>
    </row>
    <row r="54" spans="1:4" x14ac:dyDescent="0.25">
      <c r="A54" s="1">
        <v>46088</v>
      </c>
      <c r="B54" s="2">
        <v>1.08</v>
      </c>
      <c r="C54" s="2" t="s">
        <v>3</v>
      </c>
      <c r="D54" s="2" t="str">
        <f>IF(B54&gt;$G$3,"NC","C")</f>
        <v>NC</v>
      </c>
    </row>
    <row r="55" spans="1:4" x14ac:dyDescent="0.25">
      <c r="A55" s="1">
        <v>46089</v>
      </c>
      <c r="B55" s="2">
        <v>1.27</v>
      </c>
      <c r="C55" s="2" t="s">
        <v>3</v>
      </c>
      <c r="D55" s="2" t="str">
        <f>IF(B55&gt;$G$3,"NC","C")</f>
        <v>NC</v>
      </c>
    </row>
    <row r="56" spans="1:4" x14ac:dyDescent="0.25">
      <c r="A56" s="1">
        <v>46090</v>
      </c>
      <c r="B56" s="2">
        <v>1.33</v>
      </c>
      <c r="C56" s="2" t="s">
        <v>3</v>
      </c>
      <c r="D56" s="2" t="str">
        <f>IF(B56&gt;$G$3,"NC","C")</f>
        <v>NC</v>
      </c>
    </row>
    <row r="57" spans="1:4" x14ac:dyDescent="0.25">
      <c r="A57" s="1">
        <v>46091</v>
      </c>
      <c r="B57" s="2">
        <v>1.32</v>
      </c>
      <c r="C57" s="2" t="s">
        <v>3</v>
      </c>
      <c r="D57" s="2" t="str">
        <f>IF(B57&gt;$G$3,"NC","C")</f>
        <v>NC</v>
      </c>
    </row>
    <row r="58" spans="1:4" x14ac:dyDescent="0.25">
      <c r="A58" s="1">
        <v>46092</v>
      </c>
      <c r="B58" s="2">
        <v>1.05</v>
      </c>
      <c r="C58" s="2" t="s">
        <v>3</v>
      </c>
      <c r="D58" s="2" t="str">
        <f>IF(B58&gt;$G$3,"NC","C")</f>
        <v>NC</v>
      </c>
    </row>
    <row r="59" spans="1:4" x14ac:dyDescent="0.25">
      <c r="A59" s="1">
        <v>46093</v>
      </c>
      <c r="B59" s="2">
        <v>1.1299999999999999</v>
      </c>
      <c r="C59" s="2" t="s">
        <v>3</v>
      </c>
      <c r="D59" s="2" t="str">
        <f>IF(B59&gt;$G$3,"NC","C")</f>
        <v>NC</v>
      </c>
    </row>
    <row r="60" spans="1:4" x14ac:dyDescent="0.25">
      <c r="A60" s="1">
        <v>46094</v>
      </c>
      <c r="B60" s="2">
        <v>1.23</v>
      </c>
      <c r="C60" s="2" t="s">
        <v>3</v>
      </c>
      <c r="D60" s="2" t="str">
        <f>IF(B60&gt;$G$3,"NC","C")</f>
        <v>NC</v>
      </c>
    </row>
    <row r="61" spans="1:4" x14ac:dyDescent="0.25">
      <c r="A61" s="1">
        <v>46095</v>
      </c>
      <c r="B61" s="2">
        <v>1.33</v>
      </c>
      <c r="C61" s="2" t="s">
        <v>3</v>
      </c>
      <c r="D61" s="2" t="str">
        <f>IF(B61&gt;$G$3,"NC","C")</f>
        <v>NC</v>
      </c>
    </row>
    <row r="62" spans="1:4" x14ac:dyDescent="0.25">
      <c r="A62" s="1">
        <v>46096</v>
      </c>
      <c r="B62" s="2">
        <v>1.1100000000000001</v>
      </c>
      <c r="C62" s="2" t="s">
        <v>3</v>
      </c>
      <c r="D62" s="2" t="str">
        <f>IF(B62&gt;$G$3,"NC","C")</f>
        <v>NC</v>
      </c>
    </row>
    <row r="63" spans="1:4" x14ac:dyDescent="0.25">
      <c r="A63" s="1">
        <v>46097</v>
      </c>
      <c r="B63" s="2">
        <v>1.1499999999999999</v>
      </c>
      <c r="C63" s="2" t="s">
        <v>3</v>
      </c>
      <c r="D63" s="2" t="str">
        <f>IF(B63&gt;$G$3,"NC","C")</f>
        <v>NC</v>
      </c>
    </row>
    <row r="64" spans="1:4" x14ac:dyDescent="0.25">
      <c r="A64" s="1">
        <v>46098</v>
      </c>
      <c r="B64" s="2">
        <v>1.01</v>
      </c>
      <c r="C64" s="2" t="s">
        <v>3</v>
      </c>
      <c r="D64" s="2" t="str">
        <f>IF(B64&gt;$G$3,"NC","C")</f>
        <v>NC</v>
      </c>
    </row>
    <row r="65" spans="1:4" x14ac:dyDescent="0.25">
      <c r="A65" s="1">
        <v>46099</v>
      </c>
      <c r="B65" s="2">
        <v>1</v>
      </c>
      <c r="C65" s="2" t="s">
        <v>3</v>
      </c>
      <c r="D65" s="2" t="str">
        <f>IF(B65&gt;$G$3,"NC","C")</f>
        <v>C</v>
      </c>
    </row>
    <row r="66" spans="1:4" x14ac:dyDescent="0.25">
      <c r="A66" s="1">
        <v>46100</v>
      </c>
      <c r="B66" s="2">
        <v>1.3</v>
      </c>
      <c r="C66" s="2" t="s">
        <v>3</v>
      </c>
      <c r="D66" s="2" t="str">
        <f>IF(B66&gt;$G$3,"NC","C")</f>
        <v>NC</v>
      </c>
    </row>
    <row r="67" spans="1:4" x14ac:dyDescent="0.25">
      <c r="A67" s="1">
        <v>46101</v>
      </c>
      <c r="B67" s="2">
        <v>1.38</v>
      </c>
      <c r="C67" s="2" t="s">
        <v>3</v>
      </c>
      <c r="D67" s="2" t="str">
        <f>IF(B67&gt;$G$3,"NC","C")</f>
        <v>NC</v>
      </c>
    </row>
    <row r="68" spans="1:4" x14ac:dyDescent="0.25">
      <c r="A68" s="1">
        <v>46102</v>
      </c>
      <c r="B68" s="2">
        <v>1.17</v>
      </c>
      <c r="C68" s="2" t="s">
        <v>3</v>
      </c>
      <c r="D68" s="2" t="str">
        <f>IF(B68&gt;$G$3,"NC","C")</f>
        <v>NC</v>
      </c>
    </row>
    <row r="69" spans="1:4" x14ac:dyDescent="0.25">
      <c r="A69" s="1">
        <v>46103</v>
      </c>
      <c r="B69" s="2">
        <v>1.33</v>
      </c>
      <c r="C69" s="2" t="s">
        <v>3</v>
      </c>
      <c r="D69" s="2" t="str">
        <f>IF(B69&gt;$G$3,"NC","C")</f>
        <v>NC</v>
      </c>
    </row>
    <row r="70" spans="1:4" x14ac:dyDescent="0.25">
      <c r="A70" s="1">
        <v>46104</v>
      </c>
      <c r="B70" s="2">
        <v>2.37</v>
      </c>
      <c r="C70" s="2" t="s">
        <v>4</v>
      </c>
      <c r="D70" s="2" t="str">
        <f>IF(B70&gt;$G$3,"NC","C")</f>
        <v>NC</v>
      </c>
    </row>
    <row r="71" spans="1:4" x14ac:dyDescent="0.25">
      <c r="A71" s="1">
        <v>46105</v>
      </c>
      <c r="B71" s="2">
        <v>2.46</v>
      </c>
      <c r="C71" s="2" t="s">
        <v>4</v>
      </c>
      <c r="D71" s="2" t="str">
        <f>IF(B71&gt;$G$3,"NC","C")</f>
        <v>NC</v>
      </c>
    </row>
    <row r="72" spans="1:4" x14ac:dyDescent="0.25">
      <c r="A72" s="1">
        <v>46106</v>
      </c>
      <c r="B72" s="2">
        <v>2.21</v>
      </c>
      <c r="C72" s="2" t="s">
        <v>4</v>
      </c>
      <c r="D72" s="2" t="str">
        <f>IF(B72&gt;$G$3,"NC","C")</f>
        <v>NC</v>
      </c>
    </row>
    <row r="73" spans="1:4" x14ac:dyDescent="0.25">
      <c r="A73" s="1">
        <v>46107</v>
      </c>
      <c r="B73" s="2">
        <v>2.46</v>
      </c>
      <c r="C73" s="2" t="s">
        <v>4</v>
      </c>
      <c r="D73" s="2" t="str">
        <f>IF(B73&gt;$G$3,"NC","C")</f>
        <v>NC</v>
      </c>
    </row>
    <row r="74" spans="1:4" x14ac:dyDescent="0.25">
      <c r="A74" s="1">
        <v>46108</v>
      </c>
      <c r="B74" s="2">
        <v>2.21</v>
      </c>
      <c r="C74" s="2" t="s">
        <v>4</v>
      </c>
      <c r="D74" s="2" t="str">
        <f>IF(B74&gt;$G$3,"NC","C")</f>
        <v>NC</v>
      </c>
    </row>
    <row r="75" spans="1:4" x14ac:dyDescent="0.25">
      <c r="A75" s="1">
        <v>46109</v>
      </c>
      <c r="B75" s="2">
        <v>2.4700000000000002</v>
      </c>
      <c r="C75" s="2" t="s">
        <v>4</v>
      </c>
      <c r="D75" s="2" t="str">
        <f>IF(B75&gt;$G$3,"NC","C")</f>
        <v>NC</v>
      </c>
    </row>
    <row r="76" spans="1:4" x14ac:dyDescent="0.25">
      <c r="A76" s="1">
        <v>46110</v>
      </c>
      <c r="B76" s="2">
        <v>2.7</v>
      </c>
      <c r="C76" s="2" t="s">
        <v>4</v>
      </c>
      <c r="D76" s="2" t="str">
        <f>IF(B76&gt;$G$3,"NC","C")</f>
        <v>NC</v>
      </c>
    </row>
    <row r="77" spans="1:4" x14ac:dyDescent="0.25">
      <c r="A77" s="1">
        <v>46111</v>
      </c>
      <c r="B77" s="2">
        <v>2.37</v>
      </c>
      <c r="C77" s="2" t="s">
        <v>4</v>
      </c>
      <c r="D77" s="2" t="str">
        <f>IF(B77&gt;$G$3,"NC","C")</f>
        <v>NC</v>
      </c>
    </row>
    <row r="78" spans="1:4" x14ac:dyDescent="0.25">
      <c r="A78" s="1">
        <v>46112</v>
      </c>
      <c r="B78" s="2">
        <v>1.72</v>
      </c>
      <c r="C78" s="2" t="s">
        <v>4</v>
      </c>
      <c r="D78" s="2" t="str">
        <f>IF(B78&gt;$G$3,"NC","C")</f>
        <v>NC</v>
      </c>
    </row>
    <row r="79" spans="1:4" x14ac:dyDescent="0.25">
      <c r="A79" s="1">
        <v>46113</v>
      </c>
      <c r="B79" s="2">
        <v>2.2999999999999998</v>
      </c>
      <c r="C79" s="2" t="s">
        <v>4</v>
      </c>
      <c r="D79" s="2" t="str">
        <f>IF(B79&gt;$G$3,"NC","C")</f>
        <v>NC</v>
      </c>
    </row>
    <row r="80" spans="1:4" x14ac:dyDescent="0.25">
      <c r="A80" s="1">
        <v>46114</v>
      </c>
      <c r="B80" s="2">
        <v>3.5000000000000003E-2</v>
      </c>
      <c r="C80" s="2" t="s">
        <v>5</v>
      </c>
      <c r="D80" s="2" t="str">
        <f>IF(B80&gt;$G$3,"NC","C")</f>
        <v>C</v>
      </c>
    </row>
    <row r="81" spans="1:4" x14ac:dyDescent="0.25">
      <c r="A81" s="1">
        <v>46115</v>
      </c>
      <c r="B81" s="2">
        <v>2.3E-2</v>
      </c>
      <c r="C81" s="2" t="s">
        <v>6</v>
      </c>
      <c r="D81" s="2" t="str">
        <f>IF(B81&gt;$G$3,"NC","C")</f>
        <v>C</v>
      </c>
    </row>
    <row r="82" spans="1:4" x14ac:dyDescent="0.25">
      <c r="A82" s="1">
        <v>46116</v>
      </c>
      <c r="B82" s="2">
        <v>2.9000000000000001E-2</v>
      </c>
      <c r="C82" s="2" t="s">
        <v>6</v>
      </c>
      <c r="D82" s="2" t="str">
        <f>IF(B82&gt;$G$3,"NC","C")</f>
        <v>C</v>
      </c>
    </row>
    <row r="83" spans="1:4" x14ac:dyDescent="0.25">
      <c r="A83" s="1">
        <v>46117</v>
      </c>
      <c r="B83" s="2">
        <v>3.1E-2</v>
      </c>
      <c r="C83" s="2" t="s">
        <v>6</v>
      </c>
      <c r="D83" s="2" t="str">
        <f>IF(B83&gt;$G$3,"NC","C")</f>
        <v>C</v>
      </c>
    </row>
    <row r="84" spans="1:4" x14ac:dyDescent="0.25">
      <c r="A84" s="1">
        <v>46118</v>
      </c>
      <c r="B84" s="2">
        <v>3.3000000000000002E-2</v>
      </c>
      <c r="C84" s="2" t="s">
        <v>6</v>
      </c>
      <c r="D84" s="2" t="str">
        <f>IF(B84&gt;$G$3,"NC","C")</f>
        <v>C</v>
      </c>
    </row>
    <row r="85" spans="1:4" x14ac:dyDescent="0.25">
      <c r="A85" s="1">
        <v>46119</v>
      </c>
      <c r="B85" s="2">
        <v>2.7E-2</v>
      </c>
      <c r="C85" s="2" t="s">
        <v>6</v>
      </c>
      <c r="D85" s="2" t="str">
        <f>IF(B85&gt;$G$3,"NC","C")</f>
        <v>C</v>
      </c>
    </row>
    <row r="86" spans="1:4" x14ac:dyDescent="0.25">
      <c r="A86" s="1">
        <v>46120</v>
      </c>
      <c r="B86" s="2">
        <v>2.8000000000000001E-2</v>
      </c>
      <c r="C86" s="2" t="s">
        <v>6</v>
      </c>
      <c r="D86" s="2" t="str">
        <f>IF(B86&gt;$G$3,"NC","C")</f>
        <v>C</v>
      </c>
    </row>
    <row r="87" spans="1:4" x14ac:dyDescent="0.25">
      <c r="A87" s="1">
        <v>46121</v>
      </c>
      <c r="B87" s="2">
        <v>3.2000000000000001E-2</v>
      </c>
      <c r="C87" s="2" t="s">
        <v>6</v>
      </c>
      <c r="D87" s="2" t="str">
        <f>IF(B87&gt;$G$3,"NC","C")</f>
        <v>C</v>
      </c>
    </row>
    <row r="88" spans="1:4" x14ac:dyDescent="0.25">
      <c r="A88" s="1">
        <v>46122</v>
      </c>
      <c r="B88" s="2">
        <v>3.1E-2</v>
      </c>
      <c r="C88" s="2" t="s">
        <v>6</v>
      </c>
      <c r="D88" s="2" t="str">
        <f>IF(B88&gt;$G$3,"NC","C")</f>
        <v>C</v>
      </c>
    </row>
    <row r="89" spans="1:4" x14ac:dyDescent="0.25">
      <c r="A89" s="1">
        <v>46123</v>
      </c>
      <c r="B89" s="2">
        <v>3.5000000000000003E-2</v>
      </c>
      <c r="C89" s="2" t="s">
        <v>6</v>
      </c>
      <c r="D89" s="2" t="str">
        <f>IF(B89&gt;$G$3,"NC","C")</f>
        <v>C</v>
      </c>
    </row>
    <row r="90" spans="1:4" x14ac:dyDescent="0.25">
      <c r="A90" s="1">
        <v>46124</v>
      </c>
      <c r="B90" s="2">
        <v>2.9000000000000001E-2</v>
      </c>
      <c r="C90" s="2" t="s">
        <v>6</v>
      </c>
      <c r="D90" s="2" t="str">
        <f>IF(B90&gt;$G$3,"NC","C")</f>
        <v>C</v>
      </c>
    </row>
    <row r="91" spans="1:4" x14ac:dyDescent="0.25">
      <c r="A91" s="1">
        <v>46125</v>
      </c>
      <c r="B91" s="2">
        <v>3.4000000000000002E-2</v>
      </c>
      <c r="C91" s="2" t="s">
        <v>6</v>
      </c>
      <c r="D91" s="2" t="str">
        <f>IF(B91&gt;$G$3,"NC","C")</f>
        <v>C</v>
      </c>
    </row>
    <row r="92" spans="1:4" x14ac:dyDescent="0.25">
      <c r="A92" s="1">
        <v>46126</v>
      </c>
      <c r="B92" s="2">
        <v>0.03</v>
      </c>
      <c r="C92" s="2" t="s">
        <v>6</v>
      </c>
      <c r="D92" s="2" t="str">
        <f>IF(B92&gt;$G$3,"NC","C")</f>
        <v>C</v>
      </c>
    </row>
  </sheetData>
  <mergeCells count="5">
    <mergeCell ref="E19:K23"/>
    <mergeCell ref="E6:F6"/>
    <mergeCell ref="E15:K15"/>
    <mergeCell ref="E14:K14"/>
    <mergeCell ref="E18:K1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1198E-E854-4428-94E6-2C6933EF6991}">
  <dimension ref="A1:L92"/>
  <sheetViews>
    <sheetView tabSelected="1" workbookViewId="0">
      <selection activeCell="E23" sqref="E23:K27"/>
    </sheetView>
  </sheetViews>
  <sheetFormatPr defaultRowHeight="15" x14ac:dyDescent="0.25"/>
  <cols>
    <col min="1" max="1" width="10.42578125" style="2" bestFit="1" customWidth="1"/>
    <col min="2" max="2" width="28.85546875" style="2" bestFit="1" customWidth="1"/>
    <col min="3" max="3" width="32.5703125" style="2" bestFit="1" customWidth="1"/>
    <col min="4" max="4" width="16.85546875" style="2" customWidth="1"/>
    <col min="5" max="5" width="26.42578125" style="2" bestFit="1" customWidth="1"/>
    <col min="6" max="12" width="9.140625" style="2"/>
  </cols>
  <sheetData>
    <row r="1" spans="1:11" x14ac:dyDescent="0.25">
      <c r="A1" s="2" t="s">
        <v>0</v>
      </c>
      <c r="B1" s="2" t="s">
        <v>1</v>
      </c>
      <c r="C1" s="2" t="s">
        <v>2</v>
      </c>
    </row>
    <row r="2" spans="1:11" x14ac:dyDescent="0.25">
      <c r="A2" s="1">
        <v>46114</v>
      </c>
      <c r="B2" s="2">
        <v>3.5000000000000003E-2</v>
      </c>
      <c r="C2" s="2" t="s">
        <v>5</v>
      </c>
      <c r="D2" s="2" t="str">
        <f>IF(B2&gt;$G$3,"NC","C")</f>
        <v>NC</v>
      </c>
      <c r="F2" s="2" t="s">
        <v>8</v>
      </c>
      <c r="G2" s="21">
        <f>PERCENTILE(B2:B92,0.5)</f>
        <v>2.9000000000000001E-2</v>
      </c>
    </row>
    <row r="3" spans="1:11" x14ac:dyDescent="0.25">
      <c r="A3" s="1">
        <v>46115</v>
      </c>
      <c r="B3" s="2">
        <v>2.3E-2</v>
      </c>
      <c r="C3" s="2" t="s">
        <v>6</v>
      </c>
      <c r="D3" s="2" t="str">
        <f>IF(B3&gt;$G$3,"NC","C")</f>
        <v>C</v>
      </c>
      <c r="F3" s="2" t="s">
        <v>9</v>
      </c>
      <c r="G3" s="21">
        <f>PERCENTILE(B2:B92,0.25)</f>
        <v>2.9000000000000001E-2</v>
      </c>
      <c r="H3" s="2" t="s">
        <v>10</v>
      </c>
    </row>
    <row r="4" spans="1:11" x14ac:dyDescent="0.25">
      <c r="A4" s="1">
        <v>46116</v>
      </c>
      <c r="B4" s="2">
        <v>2.9000000000000001E-2</v>
      </c>
      <c r="C4" s="2" t="s">
        <v>6</v>
      </c>
      <c r="D4" s="2" t="str">
        <f>IF(B4&gt;$G$3,"NC","C")</f>
        <v>C</v>
      </c>
    </row>
    <row r="5" spans="1:11" x14ac:dyDescent="0.25">
      <c r="A5" s="1">
        <v>46117</v>
      </c>
      <c r="B5" s="2">
        <v>3.1E-2</v>
      </c>
      <c r="C5" s="2" t="s">
        <v>6</v>
      </c>
      <c r="D5" s="2" t="str">
        <f>IF(B5&gt;$G$3,"NC","C")</f>
        <v>NC</v>
      </c>
    </row>
    <row r="6" spans="1:11" x14ac:dyDescent="0.25">
      <c r="A6" s="1">
        <v>46118</v>
      </c>
      <c r="B6" s="2">
        <v>3.3000000000000002E-2</v>
      </c>
      <c r="C6" s="2" t="s">
        <v>6</v>
      </c>
      <c r="D6" s="2" t="str">
        <f>IF(B6&gt;$G$3,"NC","C")</f>
        <v>NC</v>
      </c>
      <c r="E6" s="12" t="s">
        <v>19</v>
      </c>
      <c r="F6" s="12"/>
    </row>
    <row r="7" spans="1:11" x14ac:dyDescent="0.25">
      <c r="A7" s="1">
        <v>46119</v>
      </c>
      <c r="B7" s="2">
        <v>2.7E-2</v>
      </c>
      <c r="C7" s="2" t="s">
        <v>6</v>
      </c>
      <c r="D7" s="2" t="str">
        <f>IF(B7&gt;$G$3,"NC","C")</f>
        <v>C</v>
      </c>
      <c r="E7" s="2" t="s">
        <v>14</v>
      </c>
      <c r="F7" s="2">
        <f>COUNTIF(D2:D92,"NC")</f>
        <v>8</v>
      </c>
    </row>
    <row r="8" spans="1:11" x14ac:dyDescent="0.25">
      <c r="A8" s="1">
        <v>46120</v>
      </c>
      <c r="B8" s="2">
        <v>2.8000000000000001E-2</v>
      </c>
      <c r="C8" s="2" t="s">
        <v>6</v>
      </c>
      <c r="D8" s="2" t="str">
        <f>IF(B8&gt;$G$3,"NC","C")</f>
        <v>C</v>
      </c>
      <c r="E8" s="2" t="s">
        <v>15</v>
      </c>
      <c r="F8" s="2">
        <f>COUNT(A2:A92)</f>
        <v>91</v>
      </c>
    </row>
    <row r="9" spans="1:11" x14ac:dyDescent="0.25">
      <c r="A9" s="1">
        <v>46121</v>
      </c>
      <c r="B9" s="2">
        <v>3.2000000000000001E-2</v>
      </c>
      <c r="C9" s="2" t="s">
        <v>6</v>
      </c>
      <c r="D9" s="2" t="str">
        <f>IF(B9&gt;$G$3,"NC","C")</f>
        <v>NC</v>
      </c>
      <c r="E9" s="2" t="s">
        <v>16</v>
      </c>
      <c r="F9" s="2">
        <f>F7/F8</f>
        <v>8.7912087912087919E-2</v>
      </c>
    </row>
    <row r="10" spans="1:11" x14ac:dyDescent="0.25">
      <c r="A10" s="1">
        <v>46122</v>
      </c>
      <c r="B10" s="2">
        <v>3.1E-2</v>
      </c>
      <c r="C10" s="2" t="s">
        <v>6</v>
      </c>
      <c r="D10" s="2" t="str">
        <f>IF(B10&gt;$G$3,"NC","C")</f>
        <v>NC</v>
      </c>
      <c r="E10" s="2" t="s">
        <v>17</v>
      </c>
      <c r="F10" s="2">
        <f>F9*1000000</f>
        <v>87912.087912087925</v>
      </c>
    </row>
    <row r="11" spans="1:11" x14ac:dyDescent="0.25">
      <c r="A11" s="1">
        <v>46123</v>
      </c>
      <c r="B11" s="2">
        <v>3.5000000000000003E-2</v>
      </c>
      <c r="C11" s="2" t="s">
        <v>6</v>
      </c>
      <c r="D11" s="2" t="str">
        <f>IF(B11&gt;$G$3,"NC","C")</f>
        <v>NC</v>
      </c>
      <c r="E11" s="2" t="s">
        <v>18</v>
      </c>
      <c r="F11" s="2">
        <f>NORMSINV(1-F9)</f>
        <v>1.3537248536782602</v>
      </c>
    </row>
    <row r="12" spans="1:11" x14ac:dyDescent="0.25">
      <c r="A12" s="1">
        <v>46124</v>
      </c>
      <c r="B12" s="2">
        <v>2.9000000000000001E-2</v>
      </c>
      <c r="C12" s="2" t="s">
        <v>6</v>
      </c>
      <c r="D12" s="2" t="str">
        <f>IF(B12&gt;$G$3,"NC","C")</f>
        <v>C</v>
      </c>
    </row>
    <row r="13" spans="1:11" ht="15.75" thickBot="1" x14ac:dyDescent="0.3">
      <c r="A13" s="1">
        <v>46125</v>
      </c>
      <c r="B13" s="2">
        <v>3.4000000000000002E-2</v>
      </c>
      <c r="C13" s="2" t="s">
        <v>6</v>
      </c>
      <c r="D13" s="2" t="str">
        <f>IF(B13&gt;$G$3,"NC","C")</f>
        <v>NC</v>
      </c>
    </row>
    <row r="14" spans="1:11" ht="22.5" customHeight="1" thickBot="1" x14ac:dyDescent="0.3">
      <c r="A14" s="1">
        <v>46126</v>
      </c>
      <c r="B14" s="2">
        <v>0.03</v>
      </c>
      <c r="C14" s="2" t="s">
        <v>6</v>
      </c>
      <c r="D14" s="2" t="str">
        <f>IF(B14&gt;$G$3,"NC","C")</f>
        <v>NC</v>
      </c>
      <c r="E14" s="16" t="s">
        <v>12</v>
      </c>
      <c r="F14" s="17"/>
      <c r="G14" s="17"/>
      <c r="H14" s="17"/>
      <c r="I14" s="17"/>
      <c r="J14" s="17"/>
      <c r="K14" s="18"/>
    </row>
    <row r="15" spans="1:11" x14ac:dyDescent="0.25">
      <c r="A15" s="1">
        <v>46127</v>
      </c>
      <c r="B15" s="19">
        <v>2.9000000000000001E-2</v>
      </c>
      <c r="C15" s="2" t="s">
        <v>6</v>
      </c>
      <c r="D15" s="2" t="str">
        <f>IF(B15&gt;$G$3,"NC","C")</f>
        <v>C</v>
      </c>
      <c r="E15" s="4" t="str">
        <f>"To sustain a stable Daily Reporting Latency where P50 and P25 are both "&amp;TEXT(G2,"0.000")&amp;" hours, maintain fewer than 10 NC days per 91-day cycle, and progressively reduce residual variation toward zero defects."</f>
        <v>To sustain a stable Daily Reporting Latency where P50 and P25 are both 0.029 hours, maintain fewer than 10 NC days per 91-day cycle, and progressively reduce residual variation toward zero defects.</v>
      </c>
      <c r="F15" s="4"/>
      <c r="G15" s="4"/>
      <c r="H15" s="4"/>
      <c r="I15" s="4"/>
      <c r="J15" s="4"/>
      <c r="K15" s="4"/>
    </row>
    <row r="16" spans="1:11" x14ac:dyDescent="0.25">
      <c r="A16" s="1">
        <v>46128</v>
      </c>
      <c r="B16" s="19">
        <v>2.9000000000000001E-2</v>
      </c>
      <c r="C16" s="2" t="s">
        <v>6</v>
      </c>
      <c r="D16" s="2" t="str">
        <f>IF(B16&gt;$G$3,"NC","C")</f>
        <v>C</v>
      </c>
      <c r="E16" s="7"/>
      <c r="F16" s="7"/>
      <c r="G16" s="7"/>
      <c r="H16" s="7"/>
      <c r="I16" s="7"/>
      <c r="J16" s="7"/>
      <c r="K16" s="7"/>
    </row>
    <row r="17" spans="1:11" x14ac:dyDescent="0.25">
      <c r="A17" s="1">
        <v>46129</v>
      </c>
      <c r="B17" s="19">
        <v>2.9000000000000001E-2</v>
      </c>
      <c r="C17" s="2" t="s">
        <v>6</v>
      </c>
      <c r="D17" s="2" t="str">
        <f>IF(B17&gt;$G$3,"NC","C")</f>
        <v>C</v>
      </c>
      <c r="E17" s="7"/>
      <c r="F17" s="7"/>
      <c r="G17" s="7"/>
      <c r="H17" s="7"/>
      <c r="I17" s="7"/>
      <c r="J17" s="7"/>
      <c r="K17" s="7"/>
    </row>
    <row r="18" spans="1:11" ht="23.25" customHeight="1" x14ac:dyDescent="0.25">
      <c r="A18" s="1">
        <v>46130</v>
      </c>
      <c r="B18" s="19">
        <v>2.9000000000000001E-2</v>
      </c>
      <c r="C18" s="2" t="s">
        <v>6</v>
      </c>
      <c r="D18" s="2" t="str">
        <f>IF(B18&gt;$G$3,"NC","C")</f>
        <v>C</v>
      </c>
      <c r="E18" s="7"/>
      <c r="F18" s="7"/>
      <c r="G18" s="7"/>
      <c r="H18" s="7"/>
      <c r="I18" s="7"/>
      <c r="J18" s="7"/>
      <c r="K18" s="7"/>
    </row>
    <row r="19" spans="1:11" x14ac:dyDescent="0.25">
      <c r="A19" s="1">
        <v>46131</v>
      </c>
      <c r="B19" s="19">
        <v>2.86E-2</v>
      </c>
      <c r="C19" s="2" t="s">
        <v>6</v>
      </c>
      <c r="D19" s="2" t="str">
        <f>IF(B19&gt;$G$3,"NC","C")</f>
        <v>C</v>
      </c>
    </row>
    <row r="20" spans="1:11" x14ac:dyDescent="0.25">
      <c r="A20" s="1">
        <v>46132</v>
      </c>
      <c r="B20" s="19">
        <v>2.9000000000000001E-2</v>
      </c>
      <c r="C20" s="2" t="s">
        <v>6</v>
      </c>
      <c r="D20" s="2" t="str">
        <f>IF(B20&gt;$G$3,"NC","C")</f>
        <v>C</v>
      </c>
    </row>
    <row r="21" spans="1:11" ht="15.75" thickBot="1" x14ac:dyDescent="0.3">
      <c r="A21" s="1">
        <v>46133</v>
      </c>
      <c r="B21" s="19">
        <v>2.9000000000000001E-2</v>
      </c>
      <c r="C21" s="2" t="s">
        <v>6</v>
      </c>
      <c r="D21" s="2" t="str">
        <f>IF(B21&gt;$G$3,"NC","C")</f>
        <v>C</v>
      </c>
    </row>
    <row r="22" spans="1:11" ht="19.5" thickBot="1" x14ac:dyDescent="0.3">
      <c r="A22" s="1">
        <v>46134</v>
      </c>
      <c r="B22" s="19">
        <v>2.9000000000000001E-2</v>
      </c>
      <c r="C22" s="2" t="s">
        <v>6</v>
      </c>
      <c r="D22" s="2" t="str">
        <f>IF(B22&gt;$G$3,"NC","C")</f>
        <v>C</v>
      </c>
      <c r="E22" s="16" t="s">
        <v>13</v>
      </c>
      <c r="F22" s="17"/>
      <c r="G22" s="17"/>
      <c r="H22" s="17"/>
      <c r="I22" s="17"/>
      <c r="J22" s="17"/>
      <c r="K22" s="18"/>
    </row>
    <row r="23" spans="1:11" x14ac:dyDescent="0.25">
      <c r="A23" s="1">
        <v>46135</v>
      </c>
      <c r="B23" s="19">
        <v>2.9000000000000001E-2</v>
      </c>
      <c r="C23" s="2" t="s">
        <v>6</v>
      </c>
      <c r="D23" s="2" t="str">
        <f>IF(B23&gt;$G$3,"NC","C")</f>
        <v>C</v>
      </c>
      <c r="E23" s="3" t="str">
        <f>"The post-implementation process is centered and stabilized, with P50 and P25 both at "&amp;TEXT(G2,"0.000")&amp;" hours. However, residual upper-tail variation caused "&amp;F7&amp;" of "&amp;F8&amp;" days to exceed the statistical threshold, resulting in an NC rate of "&amp;TEXT(F9,"0.00%")&amp;", "&amp;TEXT(F10,"#,##0.0")&amp;" DPMO, and a process sigma score of "&amp;TEXT(F11,"0.0000")&amp;" sigma."</f>
        <v>The post-implementation process is centered and stabilized, with P50 and P25 both at 0.029 hours. However, residual upper-tail variation caused 8 of 91 days to exceed the statistical threshold, resulting in an NC rate of 8.79%, 87,912.1 DPMO, and a process sigma score of 1.3537 sigma.</v>
      </c>
      <c r="F23" s="4"/>
      <c r="G23" s="4"/>
      <c r="H23" s="4"/>
      <c r="I23" s="4"/>
      <c r="J23" s="4"/>
      <c r="K23" s="5"/>
    </row>
    <row r="24" spans="1:11" x14ac:dyDescent="0.25">
      <c r="A24" s="1">
        <v>46136</v>
      </c>
      <c r="B24" s="19">
        <v>2.9000000000000001E-2</v>
      </c>
      <c r="C24" s="2" t="s">
        <v>6</v>
      </c>
      <c r="D24" s="2" t="str">
        <f>IF(B24&gt;$G$3,"NC","C")</f>
        <v>C</v>
      </c>
      <c r="E24" s="6"/>
      <c r="F24" s="20"/>
      <c r="G24" s="20"/>
      <c r="H24" s="20"/>
      <c r="I24" s="20"/>
      <c r="J24" s="20"/>
      <c r="K24" s="8"/>
    </row>
    <row r="25" spans="1:11" x14ac:dyDescent="0.25">
      <c r="A25" s="1">
        <v>46137</v>
      </c>
      <c r="B25" s="19">
        <v>2.9000000000000001E-2</v>
      </c>
      <c r="C25" s="2" t="s">
        <v>6</v>
      </c>
      <c r="D25" s="2" t="str">
        <f>IF(B25&gt;$G$3,"NC","C")</f>
        <v>C</v>
      </c>
      <c r="E25" s="6"/>
      <c r="F25" s="20"/>
      <c r="G25" s="20"/>
      <c r="H25" s="20"/>
      <c r="I25" s="20"/>
      <c r="J25" s="20"/>
      <c r="K25" s="8"/>
    </row>
    <row r="26" spans="1:11" x14ac:dyDescent="0.25">
      <c r="A26" s="1">
        <v>46138</v>
      </c>
      <c r="B26" s="19">
        <v>2.8799999999999999E-2</v>
      </c>
      <c r="C26" s="2" t="s">
        <v>6</v>
      </c>
      <c r="D26" s="2" t="str">
        <f>IF(B26&gt;$G$3,"NC","C")</f>
        <v>C</v>
      </c>
      <c r="E26" s="6"/>
      <c r="F26" s="20"/>
      <c r="G26" s="20"/>
      <c r="H26" s="20"/>
      <c r="I26" s="20"/>
      <c r="J26" s="20"/>
      <c r="K26" s="8"/>
    </row>
    <row r="27" spans="1:11" ht="15.75" thickBot="1" x14ac:dyDescent="0.3">
      <c r="A27" s="1">
        <v>46139</v>
      </c>
      <c r="B27" s="19">
        <v>2.9000000000000001E-2</v>
      </c>
      <c r="C27" s="2" t="s">
        <v>6</v>
      </c>
      <c r="D27" s="2" t="str">
        <f>IF(B27&gt;$G$3,"NC","C")</f>
        <v>C</v>
      </c>
      <c r="E27" s="9"/>
      <c r="F27" s="10"/>
      <c r="G27" s="10"/>
      <c r="H27" s="10"/>
      <c r="I27" s="10"/>
      <c r="J27" s="10"/>
      <c r="K27" s="11"/>
    </row>
    <row r="28" spans="1:11" x14ac:dyDescent="0.25">
      <c r="A28" s="1">
        <v>46140</v>
      </c>
      <c r="B28" s="19">
        <v>2.9000000000000001E-2</v>
      </c>
      <c r="C28" s="2" t="s">
        <v>6</v>
      </c>
      <c r="D28" s="2" t="str">
        <f>IF(B28&gt;$G$3,"NC","C")</f>
        <v>C</v>
      </c>
    </row>
    <row r="29" spans="1:11" x14ac:dyDescent="0.25">
      <c r="A29" s="1">
        <v>46141</v>
      </c>
      <c r="B29" s="19">
        <v>2.9000000000000001E-2</v>
      </c>
      <c r="C29" s="2" t="s">
        <v>6</v>
      </c>
      <c r="D29" s="2" t="str">
        <f>IF(B29&gt;$G$3,"NC","C")</f>
        <v>C</v>
      </c>
    </row>
    <row r="30" spans="1:11" x14ac:dyDescent="0.25">
      <c r="A30" s="1">
        <v>46142</v>
      </c>
      <c r="B30" s="19">
        <v>2.9000000000000001E-2</v>
      </c>
      <c r="C30" s="2" t="s">
        <v>6</v>
      </c>
      <c r="D30" s="2" t="str">
        <f>IF(B30&gt;$G$3,"NC","C")</f>
        <v>C</v>
      </c>
    </row>
    <row r="31" spans="1:11" x14ac:dyDescent="0.25">
      <c r="A31" s="1">
        <v>46143</v>
      </c>
      <c r="B31" s="19">
        <v>2.9000000000000001E-2</v>
      </c>
      <c r="C31" s="2" t="s">
        <v>6</v>
      </c>
      <c r="D31" s="2" t="str">
        <f>IF(B31&gt;$G$3,"NC","C")</f>
        <v>C</v>
      </c>
    </row>
    <row r="32" spans="1:11" x14ac:dyDescent="0.25">
      <c r="A32" s="1">
        <v>46144</v>
      </c>
      <c r="B32" s="19">
        <v>2.9000000000000001E-2</v>
      </c>
      <c r="C32" s="2" t="s">
        <v>6</v>
      </c>
      <c r="D32" s="2" t="str">
        <f>IF(B32&gt;$G$3,"NC","C")</f>
        <v>C</v>
      </c>
    </row>
    <row r="33" spans="1:4" x14ac:dyDescent="0.25">
      <c r="A33" s="1">
        <v>46145</v>
      </c>
      <c r="B33" s="19">
        <v>2.9000000000000001E-2</v>
      </c>
      <c r="C33" s="2" t="s">
        <v>6</v>
      </c>
      <c r="D33" s="2" t="str">
        <f>IF(B33&gt;$G$3,"NC","C")</f>
        <v>C</v>
      </c>
    </row>
    <row r="34" spans="1:4" x14ac:dyDescent="0.25">
      <c r="A34" s="1">
        <v>46146</v>
      </c>
      <c r="B34" s="19">
        <v>2.8400000000000002E-2</v>
      </c>
      <c r="C34" s="2" t="s">
        <v>6</v>
      </c>
      <c r="D34" s="2" t="str">
        <f>IF(B34&gt;$G$3,"NC","C")</f>
        <v>C</v>
      </c>
    </row>
    <row r="35" spans="1:4" x14ac:dyDescent="0.25">
      <c r="A35" s="1">
        <v>46147</v>
      </c>
      <c r="B35" s="19">
        <v>2.9000000000000001E-2</v>
      </c>
      <c r="C35" s="2" t="s">
        <v>6</v>
      </c>
      <c r="D35" s="2" t="str">
        <f>IF(B35&gt;$G$3,"NC","C")</f>
        <v>C</v>
      </c>
    </row>
    <row r="36" spans="1:4" x14ac:dyDescent="0.25">
      <c r="A36" s="1">
        <v>46148</v>
      </c>
      <c r="B36" s="19">
        <v>2.9000000000000001E-2</v>
      </c>
      <c r="C36" s="2" t="s">
        <v>6</v>
      </c>
      <c r="D36" s="2" t="str">
        <f>IF(B36&gt;$G$3,"NC","C")</f>
        <v>C</v>
      </c>
    </row>
    <row r="37" spans="1:4" x14ac:dyDescent="0.25">
      <c r="A37" s="1">
        <v>46149</v>
      </c>
      <c r="B37" s="19">
        <v>2.9000000000000001E-2</v>
      </c>
      <c r="C37" s="2" t="s">
        <v>6</v>
      </c>
      <c r="D37" s="2" t="str">
        <f>IF(B37&gt;$G$3,"NC","C")</f>
        <v>C</v>
      </c>
    </row>
    <row r="38" spans="1:4" x14ac:dyDescent="0.25">
      <c r="A38" s="1">
        <v>46150</v>
      </c>
      <c r="B38" s="19">
        <v>2.9000000000000001E-2</v>
      </c>
      <c r="C38" s="2" t="s">
        <v>6</v>
      </c>
      <c r="D38" s="2" t="str">
        <f>IF(B38&gt;$G$3,"NC","C")</f>
        <v>C</v>
      </c>
    </row>
    <row r="39" spans="1:4" x14ac:dyDescent="0.25">
      <c r="A39" s="1">
        <v>46151</v>
      </c>
      <c r="B39" s="19">
        <v>2.9000000000000001E-2</v>
      </c>
      <c r="C39" s="2" t="s">
        <v>6</v>
      </c>
      <c r="D39" s="2" t="str">
        <f>IF(B39&gt;$G$3,"NC","C")</f>
        <v>C</v>
      </c>
    </row>
    <row r="40" spans="1:4" x14ac:dyDescent="0.25">
      <c r="A40" s="1">
        <v>46152</v>
      </c>
      <c r="B40" s="19">
        <v>2.9000000000000001E-2</v>
      </c>
      <c r="C40" s="2" t="s">
        <v>6</v>
      </c>
      <c r="D40" s="2" t="str">
        <f>IF(B40&gt;$G$3,"NC","C")</f>
        <v>C</v>
      </c>
    </row>
    <row r="41" spans="1:4" x14ac:dyDescent="0.25">
      <c r="A41" s="1">
        <v>46153</v>
      </c>
      <c r="B41" s="19">
        <v>2.9000000000000001E-2</v>
      </c>
      <c r="C41" s="2" t="s">
        <v>6</v>
      </c>
      <c r="D41" s="2" t="str">
        <f>IF(B41&gt;$G$3,"NC","C")</f>
        <v>C</v>
      </c>
    </row>
    <row r="42" spans="1:4" x14ac:dyDescent="0.25">
      <c r="A42" s="1">
        <v>46154</v>
      </c>
      <c r="B42" s="19">
        <v>2.87E-2</v>
      </c>
      <c r="C42" s="2" t="s">
        <v>6</v>
      </c>
      <c r="D42" s="2" t="str">
        <f>IF(B42&gt;$G$3,"NC","C")</f>
        <v>C</v>
      </c>
    </row>
    <row r="43" spans="1:4" x14ac:dyDescent="0.25">
      <c r="A43" s="1">
        <v>46155</v>
      </c>
      <c r="B43" s="19">
        <v>2.9000000000000001E-2</v>
      </c>
      <c r="C43" s="2" t="s">
        <v>6</v>
      </c>
      <c r="D43" s="2" t="str">
        <f>IF(B43&gt;$G$3,"NC","C")</f>
        <v>C</v>
      </c>
    </row>
    <row r="44" spans="1:4" x14ac:dyDescent="0.25">
      <c r="A44" s="1">
        <v>46156</v>
      </c>
      <c r="B44" s="19">
        <v>2.9000000000000001E-2</v>
      </c>
      <c r="C44" s="2" t="s">
        <v>6</v>
      </c>
      <c r="D44" s="2" t="str">
        <f>IF(B44&gt;$G$3,"NC","C")</f>
        <v>C</v>
      </c>
    </row>
    <row r="45" spans="1:4" x14ac:dyDescent="0.25">
      <c r="A45" s="1">
        <v>46157</v>
      </c>
      <c r="B45" s="19">
        <v>2.9000000000000001E-2</v>
      </c>
      <c r="C45" s="2" t="s">
        <v>6</v>
      </c>
      <c r="D45" s="2" t="str">
        <f>IF(B45&gt;$G$3,"NC","C")</f>
        <v>C</v>
      </c>
    </row>
    <row r="46" spans="1:4" x14ac:dyDescent="0.25">
      <c r="A46" s="1">
        <v>46158</v>
      </c>
      <c r="B46" s="19">
        <v>2.9000000000000001E-2</v>
      </c>
      <c r="C46" s="2" t="s">
        <v>6</v>
      </c>
      <c r="D46" s="2" t="str">
        <f>IF(B46&gt;$G$3,"NC","C")</f>
        <v>C</v>
      </c>
    </row>
    <row r="47" spans="1:4" x14ac:dyDescent="0.25">
      <c r="A47" s="1">
        <v>46159</v>
      </c>
      <c r="B47" s="19">
        <v>2.9000000000000001E-2</v>
      </c>
      <c r="C47" s="2" t="s">
        <v>6</v>
      </c>
      <c r="D47" s="2" t="str">
        <f>IF(B47&gt;$G$3,"NC","C")</f>
        <v>C</v>
      </c>
    </row>
    <row r="48" spans="1:4" x14ac:dyDescent="0.25">
      <c r="A48" s="1">
        <v>46160</v>
      </c>
      <c r="B48" s="19">
        <v>2.9000000000000001E-2</v>
      </c>
      <c r="C48" s="2" t="s">
        <v>6</v>
      </c>
      <c r="D48" s="2" t="str">
        <f>IF(B48&gt;$G$3,"NC","C")</f>
        <v>C</v>
      </c>
    </row>
    <row r="49" spans="1:4" x14ac:dyDescent="0.25">
      <c r="A49" s="1">
        <v>46161</v>
      </c>
      <c r="B49" s="19">
        <v>2.9000000000000001E-2</v>
      </c>
      <c r="C49" s="2" t="s">
        <v>6</v>
      </c>
      <c r="D49" s="2" t="str">
        <f>IF(B49&gt;$G$3,"NC","C")</f>
        <v>C</v>
      </c>
    </row>
    <row r="50" spans="1:4" x14ac:dyDescent="0.25">
      <c r="A50" s="1">
        <v>46162</v>
      </c>
      <c r="B50" s="19">
        <v>2.8500000000000001E-2</v>
      </c>
      <c r="C50" s="2" t="s">
        <v>6</v>
      </c>
      <c r="D50" s="2" t="str">
        <f>IF(B50&gt;$G$3,"NC","C")</f>
        <v>C</v>
      </c>
    </row>
    <row r="51" spans="1:4" x14ac:dyDescent="0.25">
      <c r="A51" s="1">
        <v>46163</v>
      </c>
      <c r="B51" s="19">
        <v>2.9000000000000001E-2</v>
      </c>
      <c r="C51" s="2" t="s">
        <v>6</v>
      </c>
      <c r="D51" s="2" t="str">
        <f>IF(B51&gt;$G$3,"NC","C")</f>
        <v>C</v>
      </c>
    </row>
    <row r="52" spans="1:4" x14ac:dyDescent="0.25">
      <c r="A52" s="1">
        <v>46164</v>
      </c>
      <c r="B52" s="19">
        <v>2.9000000000000001E-2</v>
      </c>
      <c r="C52" s="2" t="s">
        <v>6</v>
      </c>
      <c r="D52" s="2" t="str">
        <f>IF(B52&gt;$G$3,"NC","C")</f>
        <v>C</v>
      </c>
    </row>
    <row r="53" spans="1:4" x14ac:dyDescent="0.25">
      <c r="A53" s="1">
        <v>46165</v>
      </c>
      <c r="B53" s="19">
        <v>2.9000000000000001E-2</v>
      </c>
      <c r="C53" s="2" t="s">
        <v>6</v>
      </c>
      <c r="D53" s="2" t="str">
        <f>IF(B53&gt;$G$3,"NC","C")</f>
        <v>C</v>
      </c>
    </row>
    <row r="54" spans="1:4" x14ac:dyDescent="0.25">
      <c r="A54" s="1">
        <v>46166</v>
      </c>
      <c r="B54" s="19">
        <v>2.9000000000000001E-2</v>
      </c>
      <c r="C54" s="2" t="s">
        <v>6</v>
      </c>
      <c r="D54" s="2" t="str">
        <f>IF(B54&gt;$G$3,"NC","C")</f>
        <v>C</v>
      </c>
    </row>
    <row r="55" spans="1:4" x14ac:dyDescent="0.25">
      <c r="A55" s="1">
        <v>46167</v>
      </c>
      <c r="B55" s="19">
        <v>2.9000000000000001E-2</v>
      </c>
      <c r="C55" s="2" t="s">
        <v>6</v>
      </c>
      <c r="D55" s="2" t="str">
        <f>IF(B55&gt;$G$3,"NC","C")</f>
        <v>C</v>
      </c>
    </row>
    <row r="56" spans="1:4" x14ac:dyDescent="0.25">
      <c r="A56" s="1">
        <v>46168</v>
      </c>
      <c r="B56" s="19">
        <v>2.9000000000000001E-2</v>
      </c>
      <c r="C56" s="2" t="s">
        <v>6</v>
      </c>
      <c r="D56" s="2" t="str">
        <f>IF(B56&gt;$G$3,"NC","C")</f>
        <v>C</v>
      </c>
    </row>
    <row r="57" spans="1:4" x14ac:dyDescent="0.25">
      <c r="A57" s="1">
        <v>46169</v>
      </c>
      <c r="B57" s="19">
        <v>2.9000000000000001E-2</v>
      </c>
      <c r="C57" s="2" t="s">
        <v>6</v>
      </c>
      <c r="D57" s="2" t="str">
        <f>IF(B57&gt;$G$3,"NC","C")</f>
        <v>C</v>
      </c>
    </row>
    <row r="58" spans="1:4" x14ac:dyDescent="0.25">
      <c r="A58" s="1">
        <v>46170</v>
      </c>
      <c r="B58" s="19">
        <v>2.8799999999999999E-2</v>
      </c>
      <c r="C58" s="2" t="s">
        <v>6</v>
      </c>
      <c r="D58" s="2" t="str">
        <f>IF(B58&gt;$G$3,"NC","C")</f>
        <v>C</v>
      </c>
    </row>
    <row r="59" spans="1:4" x14ac:dyDescent="0.25">
      <c r="A59" s="1">
        <v>46171</v>
      </c>
      <c r="B59" s="19">
        <v>2.9000000000000001E-2</v>
      </c>
      <c r="C59" s="2" t="s">
        <v>6</v>
      </c>
      <c r="D59" s="2" t="str">
        <f>IF(B59&gt;$G$3,"NC","C")</f>
        <v>C</v>
      </c>
    </row>
    <row r="60" spans="1:4" x14ac:dyDescent="0.25">
      <c r="A60" s="1">
        <v>46172</v>
      </c>
      <c r="B60" s="19">
        <v>2.9000000000000001E-2</v>
      </c>
      <c r="C60" s="2" t="s">
        <v>6</v>
      </c>
      <c r="D60" s="2" t="str">
        <f>IF(B60&gt;$G$3,"NC","C")</f>
        <v>C</v>
      </c>
    </row>
    <row r="61" spans="1:4" x14ac:dyDescent="0.25">
      <c r="A61" s="1">
        <v>46173</v>
      </c>
      <c r="B61" s="19">
        <v>2.9000000000000001E-2</v>
      </c>
      <c r="C61" s="2" t="s">
        <v>6</v>
      </c>
      <c r="D61" s="2" t="str">
        <f>IF(B61&gt;$G$3,"NC","C")</f>
        <v>C</v>
      </c>
    </row>
    <row r="62" spans="1:4" x14ac:dyDescent="0.25">
      <c r="A62" s="1">
        <v>46174</v>
      </c>
      <c r="B62" s="19">
        <v>2.9000000000000001E-2</v>
      </c>
      <c r="C62" s="2" t="s">
        <v>6</v>
      </c>
      <c r="D62" s="2" t="str">
        <f>IF(B62&gt;$G$3,"NC","C")</f>
        <v>C</v>
      </c>
    </row>
    <row r="63" spans="1:4" x14ac:dyDescent="0.25">
      <c r="A63" s="1">
        <v>46175</v>
      </c>
      <c r="B63" s="19">
        <v>2.9000000000000001E-2</v>
      </c>
      <c r="C63" s="2" t="s">
        <v>6</v>
      </c>
      <c r="D63" s="2" t="str">
        <f>IF(B63&gt;$G$3,"NC","C")</f>
        <v>C</v>
      </c>
    </row>
    <row r="64" spans="1:4" x14ac:dyDescent="0.25">
      <c r="A64" s="1">
        <v>46176</v>
      </c>
      <c r="B64" s="19">
        <v>2.9000000000000001E-2</v>
      </c>
      <c r="C64" s="2" t="s">
        <v>6</v>
      </c>
      <c r="D64" s="2" t="str">
        <f>IF(B64&gt;$G$3,"NC","C")</f>
        <v>C</v>
      </c>
    </row>
    <row r="65" spans="1:4" x14ac:dyDescent="0.25">
      <c r="A65" s="1">
        <v>46177</v>
      </c>
      <c r="B65" s="19">
        <v>2.9000000000000001E-2</v>
      </c>
      <c r="C65" s="2" t="s">
        <v>6</v>
      </c>
      <c r="D65" s="2" t="str">
        <f>IF(B65&gt;$G$3,"NC","C")</f>
        <v>C</v>
      </c>
    </row>
    <row r="66" spans="1:4" x14ac:dyDescent="0.25">
      <c r="A66" s="1">
        <v>46178</v>
      </c>
      <c r="B66" s="19">
        <v>2.86E-2</v>
      </c>
      <c r="C66" s="2" t="s">
        <v>6</v>
      </c>
      <c r="D66" s="2" t="str">
        <f>IF(B66&gt;$G$3,"NC","C")</f>
        <v>C</v>
      </c>
    </row>
    <row r="67" spans="1:4" x14ac:dyDescent="0.25">
      <c r="A67" s="1">
        <v>46179</v>
      </c>
      <c r="B67" s="19">
        <v>2.9000000000000001E-2</v>
      </c>
      <c r="C67" s="2" t="s">
        <v>6</v>
      </c>
      <c r="D67" s="2" t="str">
        <f>IF(B67&gt;$G$3,"NC","C")</f>
        <v>C</v>
      </c>
    </row>
    <row r="68" spans="1:4" x14ac:dyDescent="0.25">
      <c r="A68" s="1">
        <v>46180</v>
      </c>
      <c r="B68" s="19">
        <v>2.9000000000000001E-2</v>
      </c>
      <c r="C68" s="2" t="s">
        <v>6</v>
      </c>
      <c r="D68" s="2" t="str">
        <f>IF(B68&gt;$G$3,"NC","C")</f>
        <v>C</v>
      </c>
    </row>
    <row r="69" spans="1:4" x14ac:dyDescent="0.25">
      <c r="A69" s="1">
        <v>46181</v>
      </c>
      <c r="B69" s="19">
        <v>2.9000000000000001E-2</v>
      </c>
      <c r="C69" s="2" t="s">
        <v>6</v>
      </c>
      <c r="D69" s="2" t="str">
        <f>IF(B69&gt;$G$3,"NC","C")</f>
        <v>C</v>
      </c>
    </row>
    <row r="70" spans="1:4" x14ac:dyDescent="0.25">
      <c r="A70" s="1">
        <v>46182</v>
      </c>
      <c r="B70" s="19">
        <v>2.9000000000000001E-2</v>
      </c>
      <c r="C70" s="2" t="s">
        <v>6</v>
      </c>
      <c r="D70" s="2" t="str">
        <f>IF(B70&gt;$G$3,"NC","C")</f>
        <v>C</v>
      </c>
    </row>
    <row r="71" spans="1:4" x14ac:dyDescent="0.25">
      <c r="A71" s="1">
        <v>46183</v>
      </c>
      <c r="B71" s="19">
        <v>2.9000000000000001E-2</v>
      </c>
      <c r="C71" s="2" t="s">
        <v>6</v>
      </c>
      <c r="D71" s="2" t="str">
        <f>IF(B71&gt;$G$3,"NC","C")</f>
        <v>C</v>
      </c>
    </row>
    <row r="72" spans="1:4" x14ac:dyDescent="0.25">
      <c r="A72" s="1">
        <v>46184</v>
      </c>
      <c r="B72" s="19">
        <v>2.9000000000000001E-2</v>
      </c>
      <c r="C72" s="2" t="s">
        <v>6</v>
      </c>
      <c r="D72" s="2" t="str">
        <f>IF(B72&gt;$G$3,"NC","C")</f>
        <v>C</v>
      </c>
    </row>
    <row r="73" spans="1:4" x14ac:dyDescent="0.25">
      <c r="A73" s="1">
        <v>46185</v>
      </c>
      <c r="B73" s="19">
        <v>2.9000000000000001E-2</v>
      </c>
      <c r="C73" s="2" t="s">
        <v>6</v>
      </c>
      <c r="D73" s="2" t="str">
        <f>IF(B73&gt;$G$3,"NC","C")</f>
        <v>C</v>
      </c>
    </row>
    <row r="74" spans="1:4" x14ac:dyDescent="0.25">
      <c r="A74" s="1">
        <v>46186</v>
      </c>
      <c r="B74" s="19">
        <v>2.87E-2</v>
      </c>
      <c r="C74" s="2" t="s">
        <v>6</v>
      </c>
      <c r="D74" s="2" t="str">
        <f>IF(B74&gt;$G$3,"NC","C")</f>
        <v>C</v>
      </c>
    </row>
    <row r="75" spans="1:4" x14ac:dyDescent="0.25">
      <c r="A75" s="1">
        <v>46187</v>
      </c>
      <c r="B75" s="19">
        <v>2.9000000000000001E-2</v>
      </c>
      <c r="C75" s="2" t="s">
        <v>6</v>
      </c>
      <c r="D75" s="2" t="str">
        <f>IF(B75&gt;$G$3,"NC","C")</f>
        <v>C</v>
      </c>
    </row>
    <row r="76" spans="1:4" x14ac:dyDescent="0.25">
      <c r="A76" s="1">
        <v>46188</v>
      </c>
      <c r="B76" s="19">
        <v>2.9000000000000001E-2</v>
      </c>
      <c r="C76" s="2" t="s">
        <v>6</v>
      </c>
      <c r="D76" s="2" t="str">
        <f>IF(B76&gt;$G$3,"NC","C")</f>
        <v>C</v>
      </c>
    </row>
    <row r="77" spans="1:4" x14ac:dyDescent="0.25">
      <c r="A77" s="1">
        <v>46189</v>
      </c>
      <c r="B77" s="19">
        <v>2.9000000000000001E-2</v>
      </c>
      <c r="C77" s="2" t="s">
        <v>6</v>
      </c>
      <c r="D77" s="2" t="str">
        <f>IF(B77&gt;$G$3,"NC","C")</f>
        <v>C</v>
      </c>
    </row>
    <row r="78" spans="1:4" x14ac:dyDescent="0.25">
      <c r="A78" s="1">
        <v>46190</v>
      </c>
      <c r="B78" s="19">
        <v>2.9000000000000001E-2</v>
      </c>
      <c r="C78" s="2" t="s">
        <v>6</v>
      </c>
      <c r="D78" s="2" t="str">
        <f>IF(B78&gt;$G$3,"NC","C")</f>
        <v>C</v>
      </c>
    </row>
    <row r="79" spans="1:4" x14ac:dyDescent="0.25">
      <c r="A79" s="1">
        <v>46191</v>
      </c>
      <c r="B79" s="19">
        <v>2.9000000000000001E-2</v>
      </c>
      <c r="C79" s="2" t="s">
        <v>6</v>
      </c>
      <c r="D79" s="2" t="str">
        <f>IF(B79&gt;$G$3,"NC","C")</f>
        <v>C</v>
      </c>
    </row>
    <row r="80" spans="1:4" x14ac:dyDescent="0.25">
      <c r="A80" s="1">
        <v>46192</v>
      </c>
      <c r="B80" s="19">
        <v>2.9000000000000001E-2</v>
      </c>
      <c r="C80" s="2" t="s">
        <v>6</v>
      </c>
      <c r="D80" s="2" t="str">
        <f>IF(B80&gt;$G$3,"NC","C")</f>
        <v>C</v>
      </c>
    </row>
    <row r="81" spans="1:4" x14ac:dyDescent="0.25">
      <c r="A81" s="1">
        <v>46193</v>
      </c>
      <c r="B81" s="19">
        <v>2.9000000000000001E-2</v>
      </c>
      <c r="C81" s="2" t="s">
        <v>6</v>
      </c>
      <c r="D81" s="2" t="str">
        <f>IF(B81&gt;$G$3,"NC","C")</f>
        <v>C</v>
      </c>
    </row>
    <row r="82" spans="1:4" x14ac:dyDescent="0.25">
      <c r="A82" s="1">
        <v>46194</v>
      </c>
      <c r="B82" s="19">
        <v>2.8500000000000001E-2</v>
      </c>
      <c r="C82" s="2" t="s">
        <v>6</v>
      </c>
      <c r="D82" s="2" t="str">
        <f>IF(B82&gt;$G$3,"NC","C")</f>
        <v>C</v>
      </c>
    </row>
    <row r="83" spans="1:4" x14ac:dyDescent="0.25">
      <c r="A83" s="1">
        <v>46195</v>
      </c>
      <c r="B83" s="19">
        <v>2.9000000000000001E-2</v>
      </c>
      <c r="C83" s="2" t="s">
        <v>6</v>
      </c>
      <c r="D83" s="2" t="str">
        <f>IF(B83&gt;$G$3,"NC","C")</f>
        <v>C</v>
      </c>
    </row>
    <row r="84" spans="1:4" x14ac:dyDescent="0.25">
      <c r="A84" s="1">
        <v>46196</v>
      </c>
      <c r="B84" s="19">
        <v>2.9000000000000001E-2</v>
      </c>
      <c r="C84" s="2" t="s">
        <v>6</v>
      </c>
      <c r="D84" s="2" t="str">
        <f>IF(B84&gt;$G$3,"NC","C")</f>
        <v>C</v>
      </c>
    </row>
    <row r="85" spans="1:4" x14ac:dyDescent="0.25">
      <c r="A85" s="1">
        <v>46197</v>
      </c>
      <c r="B85" s="19">
        <v>2.9000000000000001E-2</v>
      </c>
      <c r="C85" s="2" t="s">
        <v>6</v>
      </c>
      <c r="D85" s="2" t="str">
        <f>IF(B85&gt;$G$3,"NC","C")</f>
        <v>C</v>
      </c>
    </row>
    <row r="86" spans="1:4" x14ac:dyDescent="0.25">
      <c r="A86" s="1">
        <v>46198</v>
      </c>
      <c r="B86" s="19">
        <v>2.9000000000000001E-2</v>
      </c>
      <c r="C86" s="2" t="s">
        <v>6</v>
      </c>
      <c r="D86" s="2" t="str">
        <f>IF(B86&gt;$G$3,"NC","C")</f>
        <v>C</v>
      </c>
    </row>
    <row r="87" spans="1:4" x14ac:dyDescent="0.25">
      <c r="A87" s="1">
        <v>46199</v>
      </c>
      <c r="B87" s="19">
        <v>2.9000000000000001E-2</v>
      </c>
      <c r="C87" s="2" t="s">
        <v>6</v>
      </c>
      <c r="D87" s="2" t="str">
        <f>IF(B87&gt;$G$3,"NC","C")</f>
        <v>C</v>
      </c>
    </row>
    <row r="88" spans="1:4" x14ac:dyDescent="0.25">
      <c r="A88" s="1">
        <v>46200</v>
      </c>
      <c r="B88" s="19">
        <v>2.9000000000000001E-2</v>
      </c>
      <c r="C88" s="2" t="s">
        <v>6</v>
      </c>
      <c r="D88" s="2" t="str">
        <f>IF(B88&gt;$G$3,"NC","C")</f>
        <v>C</v>
      </c>
    </row>
    <row r="89" spans="1:4" x14ac:dyDescent="0.25">
      <c r="A89" s="1">
        <v>46201</v>
      </c>
      <c r="B89" s="19">
        <v>2.9000000000000001E-2</v>
      </c>
      <c r="C89" s="2" t="s">
        <v>6</v>
      </c>
      <c r="D89" s="2" t="str">
        <f>IF(B89&gt;$G$3,"NC","C")</f>
        <v>C</v>
      </c>
    </row>
    <row r="90" spans="1:4" x14ac:dyDescent="0.25">
      <c r="A90" s="1">
        <v>46202</v>
      </c>
      <c r="B90" s="19">
        <v>2.8799999999999999E-2</v>
      </c>
      <c r="C90" s="2" t="s">
        <v>6</v>
      </c>
      <c r="D90" s="2" t="str">
        <f>IF(B90&gt;$G$3,"NC","C")</f>
        <v>C</v>
      </c>
    </row>
    <row r="91" spans="1:4" x14ac:dyDescent="0.25">
      <c r="A91" s="1">
        <v>46203</v>
      </c>
      <c r="B91" s="19">
        <v>2.9000000000000001E-2</v>
      </c>
      <c r="C91" s="2" t="s">
        <v>6</v>
      </c>
      <c r="D91" s="2" t="str">
        <f>IF(B91&gt;$G$3,"NC","C")</f>
        <v>C</v>
      </c>
    </row>
    <row r="92" spans="1:4" x14ac:dyDescent="0.25">
      <c r="A92" s="1">
        <v>46204</v>
      </c>
      <c r="B92" s="19">
        <v>2.9000000000000001E-2</v>
      </c>
      <c r="C92" s="2" t="s">
        <v>7</v>
      </c>
      <c r="D92" s="2" t="str">
        <f>IF(B92&gt;$G$3,"NC","C")</f>
        <v>C</v>
      </c>
    </row>
  </sheetData>
  <mergeCells count="5">
    <mergeCell ref="E6:F6"/>
    <mergeCell ref="E14:K14"/>
    <mergeCell ref="E22:K22"/>
    <mergeCell ref="E23:K27"/>
    <mergeCell ref="E15:K1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91Days pre implementation data</vt:lpstr>
      <vt:lpstr>91Days post implementation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Parth Joshi</dc:creator>
  <cp:lastModifiedBy>Parth Joshi</cp:lastModifiedBy>
  <dcterms:created xsi:type="dcterms:W3CDTF">2026-07-13T01:18:43Z</dcterms:created>
  <dcterms:modified xsi:type="dcterms:W3CDTF">2026-07-22T17:46:45Z</dcterms:modified>
</cp:coreProperties>
</file>