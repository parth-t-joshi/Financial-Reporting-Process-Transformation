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Parth\Documents\GitHub\Financial-Reporting-Process-Transformation\Six Sigma Green Belt reports\"/>
    </mc:Choice>
  </mc:AlternateContent>
  <xr:revisionPtr revIDLastSave="0" documentId="13_ncr:1_{49D49D20-5692-4467-BBB7-ACD92AD03112}" xr6:coauthVersionLast="47" xr6:coauthVersionMax="47" xr10:uidLastSave="{00000000-0000-0000-0000-000000000000}"/>
  <bookViews>
    <workbookView xWindow="-120" yWindow="-120" windowWidth="29040" windowHeight="15720" activeTab="1" xr2:uid="{00000000-000D-0000-FFFF-FFFF00000000}"/>
  </bookViews>
  <sheets>
    <sheet name="91Days pre implementation data" sheetId="7" r:id="rId1"/>
    <sheet name="50-50 Pre Post Data" sheetId="8" r:id="rId2"/>
    <sheet name="91Days post implementation data" sheetId="9"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5" i="9" l="1"/>
  <c r="G2" i="9"/>
  <c r="G3" i="9"/>
  <c r="D2" i="9" s="1"/>
  <c r="D8" i="9"/>
  <c r="G8" i="9"/>
  <c r="D9" i="9"/>
  <c r="D54" i="8" s="1"/>
  <c r="D10" i="9"/>
  <c r="D11" i="9"/>
  <c r="D56" i="8" s="1"/>
  <c r="D15" i="9"/>
  <c r="D16" i="9"/>
  <c r="D61" i="8" s="1"/>
  <c r="D17" i="9"/>
  <c r="D62" i="8" s="1"/>
  <c r="D19" i="9"/>
  <c r="D21" i="9"/>
  <c r="D66" i="8" s="1"/>
  <c r="D25" i="9"/>
  <c r="D70" i="8" s="1"/>
  <c r="D26" i="9"/>
  <c r="D71" i="8" s="1"/>
  <c r="D27" i="9"/>
  <c r="D28" i="9"/>
  <c r="D73" i="8" s="1"/>
  <c r="D30" i="9"/>
  <c r="D32" i="9"/>
  <c r="D37" i="9"/>
  <c r="D82" i="8" s="1"/>
  <c r="D38" i="9"/>
  <c r="D83" i="8" s="1"/>
  <c r="D39" i="9"/>
  <c r="D40" i="9"/>
  <c r="D85" i="8" s="1"/>
  <c r="D42" i="9"/>
  <c r="D44" i="9"/>
  <c r="D49" i="9"/>
  <c r="D50" i="9"/>
  <c r="D51" i="9"/>
  <c r="D52" i="9"/>
  <c r="D54" i="9"/>
  <c r="D56" i="9"/>
  <c r="D61" i="9"/>
  <c r="D62" i="9"/>
  <c r="D63" i="9"/>
  <c r="D64" i="9"/>
  <c r="D66" i="9"/>
  <c r="D68" i="9"/>
  <c r="D73" i="9"/>
  <c r="D74" i="9"/>
  <c r="D75" i="9"/>
  <c r="D76" i="9"/>
  <c r="D78" i="9"/>
  <c r="D80" i="9"/>
  <c r="D85" i="9"/>
  <c r="D86" i="9"/>
  <c r="D87" i="9"/>
  <c r="D88" i="9"/>
  <c r="D90" i="9"/>
  <c r="D92" i="9"/>
  <c r="A2" i="8"/>
  <c r="B2" i="8"/>
  <c r="C2" i="8"/>
  <c r="D2" i="8"/>
  <c r="E2" i="8"/>
  <c r="A3" i="8"/>
  <c r="B3" i="8"/>
  <c r="C3" i="8"/>
  <c r="D3" i="8"/>
  <c r="E3" i="8"/>
  <c r="A4" i="8"/>
  <c r="B4" i="8"/>
  <c r="C4" i="8"/>
  <c r="D4" i="8"/>
  <c r="E4" i="8"/>
  <c r="A5" i="8"/>
  <c r="B5" i="8"/>
  <c r="C5" i="8"/>
  <c r="D5" i="8"/>
  <c r="E5" i="8"/>
  <c r="A6" i="8"/>
  <c r="B6" i="8"/>
  <c r="C6" i="8"/>
  <c r="D6" i="8"/>
  <c r="E6" i="8"/>
  <c r="A7" i="8"/>
  <c r="B7" i="8"/>
  <c r="C7" i="8"/>
  <c r="D7" i="8"/>
  <c r="E7" i="8"/>
  <c r="A8" i="8"/>
  <c r="B8" i="8"/>
  <c r="C8" i="8"/>
  <c r="D8" i="8"/>
  <c r="E8" i="8"/>
  <c r="A9" i="8"/>
  <c r="B9" i="8"/>
  <c r="C9" i="8"/>
  <c r="D9" i="8"/>
  <c r="E9" i="8"/>
  <c r="A10" i="8"/>
  <c r="B10" i="8"/>
  <c r="C10" i="8"/>
  <c r="D10" i="8"/>
  <c r="E10" i="8"/>
  <c r="A11" i="8"/>
  <c r="B11" i="8"/>
  <c r="C11" i="8"/>
  <c r="D11" i="8"/>
  <c r="E11" i="8"/>
  <c r="A12" i="8"/>
  <c r="B12" i="8"/>
  <c r="C12" i="8"/>
  <c r="D12" i="8"/>
  <c r="E12" i="8"/>
  <c r="A13" i="8"/>
  <c r="B13" i="8"/>
  <c r="C13" i="8"/>
  <c r="D13" i="8"/>
  <c r="E13" i="8"/>
  <c r="A14" i="8"/>
  <c r="B14" i="8"/>
  <c r="C14" i="8"/>
  <c r="D14" i="8"/>
  <c r="E14" i="8"/>
  <c r="A15" i="8"/>
  <c r="B15" i="8"/>
  <c r="C15" i="8"/>
  <c r="D15" i="8"/>
  <c r="E15" i="8"/>
  <c r="A16" i="8"/>
  <c r="B16" i="8"/>
  <c r="C16" i="8"/>
  <c r="D16" i="8"/>
  <c r="E16" i="8"/>
  <c r="A17" i="8"/>
  <c r="B17" i="8"/>
  <c r="C17" i="8"/>
  <c r="D17" i="8"/>
  <c r="E17" i="8"/>
  <c r="A18" i="8"/>
  <c r="B18" i="8"/>
  <c r="C18" i="8"/>
  <c r="D18" i="8"/>
  <c r="E18" i="8"/>
  <c r="A19" i="8"/>
  <c r="B19" i="8"/>
  <c r="C19" i="8"/>
  <c r="D19" i="8"/>
  <c r="E19" i="8"/>
  <c r="A20" i="8"/>
  <c r="B20" i="8"/>
  <c r="C20" i="8"/>
  <c r="D20" i="8"/>
  <c r="E20" i="8"/>
  <c r="A21" i="8"/>
  <c r="B21" i="8"/>
  <c r="C21" i="8"/>
  <c r="D21" i="8"/>
  <c r="E21" i="8"/>
  <c r="A22" i="8"/>
  <c r="B22" i="8"/>
  <c r="C22" i="8"/>
  <c r="D22" i="8"/>
  <c r="E22" i="8"/>
  <c r="A23" i="8"/>
  <c r="B23" i="8"/>
  <c r="C23" i="8"/>
  <c r="D23" i="8"/>
  <c r="E23" i="8"/>
  <c r="A24" i="8"/>
  <c r="B24" i="8"/>
  <c r="C24" i="8"/>
  <c r="D24" i="8"/>
  <c r="E24" i="8"/>
  <c r="A25" i="8"/>
  <c r="B25" i="8"/>
  <c r="C25" i="8"/>
  <c r="D25" i="8"/>
  <c r="E25" i="8"/>
  <c r="A26" i="8"/>
  <c r="B26" i="8"/>
  <c r="C26" i="8"/>
  <c r="D26" i="8"/>
  <c r="E26" i="8"/>
  <c r="A27" i="8"/>
  <c r="B27" i="8"/>
  <c r="C27" i="8"/>
  <c r="D27" i="8"/>
  <c r="E27" i="8"/>
  <c r="A28" i="8"/>
  <c r="B28" i="8"/>
  <c r="C28" i="8"/>
  <c r="D28" i="8"/>
  <c r="E28" i="8"/>
  <c r="A29" i="8"/>
  <c r="B29" i="8"/>
  <c r="C29" i="8"/>
  <c r="D29" i="8"/>
  <c r="E29" i="8"/>
  <c r="A30" i="8"/>
  <c r="B30" i="8"/>
  <c r="C30" i="8"/>
  <c r="D30" i="8"/>
  <c r="E30" i="8"/>
  <c r="A31" i="8"/>
  <c r="B31" i="8"/>
  <c r="C31" i="8"/>
  <c r="D31" i="8"/>
  <c r="E31" i="8"/>
  <c r="A32" i="8"/>
  <c r="B32" i="8"/>
  <c r="C32" i="8"/>
  <c r="D32" i="8"/>
  <c r="E32" i="8"/>
  <c r="A33" i="8"/>
  <c r="B33" i="8"/>
  <c r="C33" i="8"/>
  <c r="D33" i="8"/>
  <c r="E33" i="8"/>
  <c r="A34" i="8"/>
  <c r="B34" i="8"/>
  <c r="C34" i="8"/>
  <c r="D34" i="8"/>
  <c r="E34" i="8"/>
  <c r="A35" i="8"/>
  <c r="B35" i="8"/>
  <c r="C35" i="8"/>
  <c r="D35" i="8"/>
  <c r="E35" i="8"/>
  <c r="A36" i="8"/>
  <c r="B36" i="8"/>
  <c r="C36" i="8"/>
  <c r="D36" i="8"/>
  <c r="E36" i="8"/>
  <c r="A37" i="8"/>
  <c r="B37" i="8"/>
  <c r="C37" i="8"/>
  <c r="D37" i="8"/>
  <c r="E37" i="8"/>
  <c r="A38" i="8"/>
  <c r="B38" i="8"/>
  <c r="C38" i="8"/>
  <c r="D38" i="8"/>
  <c r="E38" i="8"/>
  <c r="A39" i="8"/>
  <c r="B39" i="8"/>
  <c r="C39" i="8"/>
  <c r="D39" i="8"/>
  <c r="E39" i="8"/>
  <c r="A40" i="8"/>
  <c r="B40" i="8"/>
  <c r="C40" i="8"/>
  <c r="D40" i="8"/>
  <c r="E40" i="8"/>
  <c r="A41" i="8"/>
  <c r="B41" i="8"/>
  <c r="C41" i="8"/>
  <c r="D41" i="8"/>
  <c r="E41" i="8"/>
  <c r="A42" i="8"/>
  <c r="B42" i="8"/>
  <c r="C42" i="8"/>
  <c r="D42" i="8"/>
  <c r="E42" i="8"/>
  <c r="A43" i="8"/>
  <c r="B43" i="8"/>
  <c r="C43" i="8"/>
  <c r="D43" i="8"/>
  <c r="E43" i="8"/>
  <c r="A44" i="8"/>
  <c r="B44" i="8"/>
  <c r="C44" i="8"/>
  <c r="D44" i="8"/>
  <c r="E44" i="8"/>
  <c r="A45" i="8"/>
  <c r="B45" i="8"/>
  <c r="C45" i="8"/>
  <c r="D45" i="8"/>
  <c r="E45" i="8"/>
  <c r="A46" i="8"/>
  <c r="B46" i="8"/>
  <c r="C46" i="8"/>
  <c r="D46" i="8"/>
  <c r="E46" i="8"/>
  <c r="A47" i="8"/>
  <c r="B47" i="8"/>
  <c r="H3" i="8" s="1"/>
  <c r="C47" i="8"/>
  <c r="E47" i="8"/>
  <c r="A48" i="8"/>
  <c r="B48" i="8"/>
  <c r="C48" i="8"/>
  <c r="E48" i="8"/>
  <c r="A49" i="8"/>
  <c r="B49" i="8"/>
  <c r="C49" i="8"/>
  <c r="E49" i="8"/>
  <c r="A50" i="8"/>
  <c r="B50" i="8"/>
  <c r="C50" i="8"/>
  <c r="E50" i="8"/>
  <c r="A51" i="8"/>
  <c r="B51" i="8"/>
  <c r="C51" i="8"/>
  <c r="E51" i="8"/>
  <c r="A52" i="8"/>
  <c r="B52" i="8"/>
  <c r="C52" i="8"/>
  <c r="E52" i="8"/>
  <c r="A53" i="8"/>
  <c r="B53" i="8"/>
  <c r="C53" i="8"/>
  <c r="D53" i="8"/>
  <c r="E53" i="8"/>
  <c r="A54" i="8"/>
  <c r="B54" i="8"/>
  <c r="C54" i="8"/>
  <c r="E54" i="8"/>
  <c r="A55" i="8"/>
  <c r="B55" i="8"/>
  <c r="C55" i="8"/>
  <c r="D55" i="8"/>
  <c r="E55" i="8"/>
  <c r="A56" i="8"/>
  <c r="B56" i="8"/>
  <c r="C56" i="8"/>
  <c r="E56" i="8"/>
  <c r="A57" i="8"/>
  <c r="B57" i="8"/>
  <c r="C57" i="8"/>
  <c r="E57" i="8"/>
  <c r="A58" i="8"/>
  <c r="B58" i="8"/>
  <c r="C58" i="8"/>
  <c r="E58" i="8"/>
  <c r="A59" i="8"/>
  <c r="B59" i="8"/>
  <c r="C59" i="8"/>
  <c r="E59" i="8"/>
  <c r="A60" i="8"/>
  <c r="B60" i="8"/>
  <c r="C60" i="8"/>
  <c r="D60" i="8"/>
  <c r="E60" i="8"/>
  <c r="A61" i="8"/>
  <c r="B61" i="8"/>
  <c r="C61" i="8"/>
  <c r="E61" i="8"/>
  <c r="A62" i="8"/>
  <c r="B62" i="8"/>
  <c r="C62" i="8"/>
  <c r="E62" i="8"/>
  <c r="A63" i="8"/>
  <c r="B63" i="8"/>
  <c r="C63" i="8"/>
  <c r="E63" i="8"/>
  <c r="A64" i="8"/>
  <c r="B64" i="8"/>
  <c r="C64" i="8"/>
  <c r="D64" i="8"/>
  <c r="E64" i="8"/>
  <c r="A65" i="8"/>
  <c r="B65" i="8"/>
  <c r="C65" i="8"/>
  <c r="E65" i="8"/>
  <c r="A66" i="8"/>
  <c r="B66" i="8"/>
  <c r="C66" i="8"/>
  <c r="E66" i="8"/>
  <c r="A67" i="8"/>
  <c r="B67" i="8"/>
  <c r="C67" i="8"/>
  <c r="E67" i="8"/>
  <c r="A68" i="8"/>
  <c r="B68" i="8"/>
  <c r="C68" i="8"/>
  <c r="E68" i="8"/>
  <c r="A69" i="8"/>
  <c r="B69" i="8"/>
  <c r="C69" i="8"/>
  <c r="E69" i="8"/>
  <c r="A70" i="8"/>
  <c r="B70" i="8"/>
  <c r="C70" i="8"/>
  <c r="E70" i="8"/>
  <c r="A71" i="8"/>
  <c r="B71" i="8"/>
  <c r="C71" i="8"/>
  <c r="E71" i="8"/>
  <c r="A72" i="8"/>
  <c r="B72" i="8"/>
  <c r="C72" i="8"/>
  <c r="D72" i="8"/>
  <c r="E72" i="8"/>
  <c r="A73" i="8"/>
  <c r="B73" i="8"/>
  <c r="C73" i="8"/>
  <c r="E73" i="8"/>
  <c r="A74" i="8"/>
  <c r="B74" i="8"/>
  <c r="C74" i="8"/>
  <c r="E74" i="8"/>
  <c r="A75" i="8"/>
  <c r="B75" i="8"/>
  <c r="C75" i="8"/>
  <c r="D75" i="8"/>
  <c r="E75" i="8"/>
  <c r="A76" i="8"/>
  <c r="B76" i="8"/>
  <c r="C76" i="8"/>
  <c r="E76" i="8"/>
  <c r="A77" i="8"/>
  <c r="B77" i="8"/>
  <c r="C77" i="8"/>
  <c r="D77" i="8"/>
  <c r="E77" i="8"/>
  <c r="A78" i="8"/>
  <c r="B78" i="8"/>
  <c r="C78" i="8"/>
  <c r="E78" i="8"/>
  <c r="A79" i="8"/>
  <c r="B79" i="8"/>
  <c r="C79" i="8"/>
  <c r="E79" i="8"/>
  <c r="A80" i="8"/>
  <c r="B80" i="8"/>
  <c r="C80" i="8"/>
  <c r="E80" i="8"/>
  <c r="A81" i="8"/>
  <c r="B81" i="8"/>
  <c r="C81" i="8"/>
  <c r="E81" i="8"/>
  <c r="A82" i="8"/>
  <c r="B82" i="8"/>
  <c r="C82" i="8"/>
  <c r="E82" i="8"/>
  <c r="A83" i="8"/>
  <c r="B83" i="8"/>
  <c r="C83" i="8"/>
  <c r="E83" i="8"/>
  <c r="A84" i="8"/>
  <c r="B84" i="8"/>
  <c r="C84" i="8"/>
  <c r="D84" i="8"/>
  <c r="E84" i="8"/>
  <c r="A85" i="8"/>
  <c r="B85" i="8"/>
  <c r="C85" i="8"/>
  <c r="E85" i="8"/>
  <c r="A86" i="8"/>
  <c r="B86" i="8"/>
  <c r="C86" i="8"/>
  <c r="E86" i="8"/>
  <c r="A87" i="8"/>
  <c r="B87" i="8"/>
  <c r="C87" i="8"/>
  <c r="D87" i="8"/>
  <c r="E87" i="8"/>
  <c r="A88" i="8"/>
  <c r="B88" i="8"/>
  <c r="C88" i="8"/>
  <c r="E88" i="8"/>
  <c r="A89" i="8"/>
  <c r="B89" i="8"/>
  <c r="C89" i="8"/>
  <c r="D89" i="8"/>
  <c r="E89" i="8"/>
  <c r="A90" i="8"/>
  <c r="B90" i="8"/>
  <c r="C90" i="8"/>
  <c r="E90" i="8"/>
  <c r="A91" i="8"/>
  <c r="B91" i="8"/>
  <c r="C91" i="8"/>
  <c r="E91" i="8"/>
  <c r="D2" i="7"/>
  <c r="G2" i="7"/>
  <c r="G3" i="7"/>
  <c r="D3" i="7" s="1"/>
  <c r="D8" i="7"/>
  <c r="G8" i="7"/>
  <c r="D9" i="7"/>
  <c r="D10" i="7"/>
  <c r="D11" i="7"/>
  <c r="D15" i="7"/>
  <c r="D16" i="7"/>
  <c r="D17" i="7"/>
  <c r="D18" i="7"/>
  <c r="D19" i="7"/>
  <c r="D20" i="7"/>
  <c r="D22" i="7"/>
  <c r="D27" i="7"/>
  <c r="D28" i="7"/>
  <c r="D29" i="7"/>
  <c r="D30" i="7"/>
  <c r="D31" i="7"/>
  <c r="D32" i="7"/>
  <c r="D34" i="7"/>
  <c r="D39" i="7"/>
  <c r="D40" i="7"/>
  <c r="D41" i="7"/>
  <c r="D42" i="7"/>
  <c r="D43" i="7"/>
  <c r="D44" i="7"/>
  <c r="D46" i="7"/>
  <c r="D51" i="7"/>
  <c r="D52" i="7"/>
  <c r="D53" i="7"/>
  <c r="D54" i="7"/>
  <c r="D55" i="7"/>
  <c r="D56" i="7"/>
  <c r="D58" i="7"/>
  <c r="D63" i="7"/>
  <c r="D64" i="7"/>
  <c r="D65" i="7"/>
  <c r="D66" i="7"/>
  <c r="D67" i="7"/>
  <c r="D68" i="7"/>
  <c r="D70" i="7"/>
  <c r="D72" i="7"/>
  <c r="D74" i="7"/>
  <c r="D75" i="7"/>
  <c r="D76" i="7"/>
  <c r="D77" i="7"/>
  <c r="D78" i="7"/>
  <c r="D79" i="7"/>
  <c r="D80" i="7"/>
  <c r="D82" i="7"/>
  <c r="D84" i="7"/>
  <c r="D86" i="7"/>
  <c r="D87" i="7"/>
  <c r="D88" i="7"/>
  <c r="D89" i="7"/>
  <c r="D90" i="7"/>
  <c r="D91" i="7"/>
  <c r="D92" i="7"/>
  <c r="D47" i="8" l="1"/>
  <c r="D84" i="9"/>
  <c r="D72" i="9"/>
  <c r="D60" i="9"/>
  <c r="D48" i="9"/>
  <c r="D36" i="9"/>
  <c r="D81" i="8" s="1"/>
  <c r="D24" i="9"/>
  <c r="D69" i="8" s="1"/>
  <c r="D14" i="9"/>
  <c r="D59" i="8" s="1"/>
  <c r="D7" i="9"/>
  <c r="D52" i="8" s="1"/>
  <c r="D83" i="9"/>
  <c r="D71" i="9"/>
  <c r="D59" i="9"/>
  <c r="D47" i="9"/>
  <c r="D35" i="9"/>
  <c r="D80" i="8" s="1"/>
  <c r="D13" i="9"/>
  <c r="D58" i="8" s="1"/>
  <c r="D6" i="9"/>
  <c r="D51" i="8" s="1"/>
  <c r="H2" i="8"/>
  <c r="D82" i="9"/>
  <c r="D70" i="9"/>
  <c r="D58" i="9"/>
  <c r="D46" i="9"/>
  <c r="D91" i="8" s="1"/>
  <c r="D34" i="9"/>
  <c r="D79" i="8" s="1"/>
  <c r="D23" i="9"/>
  <c r="D68" i="8" s="1"/>
  <c r="D12" i="9"/>
  <c r="D57" i="8" s="1"/>
  <c r="D5" i="9"/>
  <c r="D50" i="8" s="1"/>
  <c r="D81" i="9"/>
  <c r="D69" i="9"/>
  <c r="D57" i="9"/>
  <c r="D45" i="9"/>
  <c r="D90" i="8" s="1"/>
  <c r="D33" i="9"/>
  <c r="D78" i="8" s="1"/>
  <c r="D22" i="9"/>
  <c r="D67" i="8" s="1"/>
  <c r="D4" i="9"/>
  <c r="D49" i="8" s="1"/>
  <c r="D91" i="9"/>
  <c r="D79" i="9"/>
  <c r="D67" i="9"/>
  <c r="D55" i="9"/>
  <c r="D43" i="9"/>
  <c r="D88" i="8" s="1"/>
  <c r="D31" i="9"/>
  <c r="D76" i="8" s="1"/>
  <c r="D20" i="9"/>
  <c r="D65" i="8" s="1"/>
  <c r="D3" i="9"/>
  <c r="D48" i="8" s="1"/>
  <c r="H7" i="8" s="1"/>
  <c r="H9" i="8" s="1"/>
  <c r="H8" i="8"/>
  <c r="D89" i="9"/>
  <c r="D77" i="9"/>
  <c r="D65" i="9"/>
  <c r="D53" i="9"/>
  <c r="D41" i="9"/>
  <c r="D86" i="8" s="1"/>
  <c r="D29" i="9"/>
  <c r="D74" i="8" s="1"/>
  <c r="D18" i="9"/>
  <c r="D63" i="8" s="1"/>
  <c r="D62" i="7"/>
  <c r="D50" i="7"/>
  <c r="D38" i="7"/>
  <c r="D26" i="7"/>
  <c r="D14" i="7"/>
  <c r="D7" i="7"/>
  <c r="D85" i="7"/>
  <c r="D73" i="7"/>
  <c r="D61" i="7"/>
  <c r="D49" i="7"/>
  <c r="D37" i="7"/>
  <c r="D25" i="7"/>
  <c r="D13" i="7"/>
  <c r="D6" i="7"/>
  <c r="D60" i="7"/>
  <c r="D48" i="7"/>
  <c r="D36" i="7"/>
  <c r="D24" i="7"/>
  <c r="D12" i="7"/>
  <c r="D5" i="7"/>
  <c r="D83" i="7"/>
  <c r="D71" i="7"/>
  <c r="D59" i="7"/>
  <c r="D47" i="7"/>
  <c r="D35" i="7"/>
  <c r="D23" i="7"/>
  <c r="D4" i="7"/>
  <c r="G7" i="7" s="1"/>
  <c r="G9" i="7" s="1"/>
  <c r="D81" i="7"/>
  <c r="D69" i="7"/>
  <c r="D57" i="7"/>
  <c r="D45" i="7"/>
  <c r="D33" i="7"/>
  <c r="D21" i="7"/>
  <c r="H10" i="8" l="1"/>
  <c r="H11" i="8"/>
  <c r="G7" i="9"/>
  <c r="G10" i="7"/>
  <c r="G11" i="7"/>
  <c r="G9" i="9" l="1"/>
  <c r="G10" i="9" l="1"/>
  <c r="G11" i="9"/>
</calcChain>
</file>

<file path=xl/sharedStrings.xml><?xml version="1.0" encoding="utf-8"?>
<sst xmlns="http://schemas.openxmlformats.org/spreadsheetml/2006/main" count="257" uniqueCount="40">
  <si>
    <t>Date</t>
  </si>
  <si>
    <t>Daily_Reporting_Latency_Hours</t>
  </si>
  <si>
    <t>Operational_Phase</t>
  </si>
  <si>
    <t>Historical Baseline Run-Rate</t>
  </si>
  <si>
    <t>Pre-Implementation Crisis Spike</t>
  </si>
  <si>
    <t>Post-Implementation Control (Go-Live)</t>
  </si>
  <si>
    <t>Post-Implementation Control</t>
  </si>
  <si>
    <t>Post-Implementation Control (Current)</t>
  </si>
  <si>
    <t>p50</t>
  </si>
  <si>
    <t>p25</t>
  </si>
  <si>
    <t>target</t>
  </si>
  <si>
    <t>To reduce current median DRL from 1.14 to 1.005 by 3 months.</t>
  </si>
  <si>
    <t>Goal</t>
  </si>
  <si>
    <t xml:space="preserve">Problem </t>
  </si>
  <si>
    <t>NCs</t>
  </si>
  <si>
    <t>Total Days</t>
  </si>
  <si>
    <t>DPO</t>
  </si>
  <si>
    <t>DPMO/PPM</t>
  </si>
  <si>
    <t>SIGMA SCORE</t>
  </si>
  <si>
    <t>HISTORICAL DATA ANALYSIS</t>
  </si>
  <si>
    <t>There are 68 days out of 91 days, where performance is lower than statistical goal. i.e. NC = 74.72%; with DPMO value of 747252.7 and sigma score of -0.66587</t>
  </si>
  <si>
    <t>Improve Phase Focus</t>
  </si>
  <si>
    <t>Compliance_Status</t>
  </si>
  <si>
    <t>Implementation_Group</t>
  </si>
  <si>
    <t>≈ 50000</t>
  </si>
  <si>
    <t>SIGMA SCORE 𝜎</t>
  </si>
  <si>
    <t>`+2.00𝜎 to +3.00𝜎</t>
  </si>
  <si>
    <t>WORLD-CLASS BENCHMARK</t>
  </si>
  <si>
    <t>0.0500 (5.0%)</t>
  </si>
  <si>
    <t>&lt; 0.00600 (0.6%)</t>
  </si>
  <si>
    <t>&lt; 6000</t>
  </si>
  <si>
    <t>&gt; +4.5𝜎</t>
  </si>
  <si>
    <t>≈ 50,000</t>
  </si>
  <si>
    <t>&lt; ,6000</t>
  </si>
  <si>
    <t>&lt; 60,00</t>
  </si>
  <si>
    <t>Problem</t>
  </si>
  <si>
    <t>To execute a leftward distribution shift in Daily Reporting Latency, reducing the process median from P50 = 0.4625 hours (27.75 minutes) to the demonstrated benchmark of P25 = 0.029 hours (1.74 minutes) within 3 months. The improvement will standardize demonstrated best performance as the new process midpoint, reduce latency variation, and progress the process toward zero latency defects and ≥6.00σ capability.</t>
  </si>
  <si>
    <t>The Daily Reporting Latency process has a current median of P50 = 0.4625 hours (27.75 minutes), compared with a demonstrated P25 benchmark of 0.029 hours (1.74 minutes). Across the 90-day evaluation period, 47 runs were classified as non-compliant, resulting in a 52.22% non-compliance rate, 522,222.22 DPMO, and a process sigma score of -0.0557σ. This performance remains significantly below the industry average benchmark of approximately 50,000 DPMO (+2.0σ to +3.0σ).</t>
  </si>
  <si>
    <t>INDUSTRY AVERAGE BENCHMARK</t>
  </si>
  <si>
    <t>Preserve the achieved process center at P50 = 0.029 hours and P25 = 0.029 hours while reducing upper-tail variation. Investigate the 8 non-compliant runs for recurring timing, workload, source-system, and handoff causes; standardize the best-performing workflow; automate delay points; and add threshold alerts. Validate improvement over the next 91-day cycle by reducing NCs to no more than 2, DPMO to no more than 22,000, and raising sigma from 1.3537 to at least 2.00 before transition to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</si>
</sst>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000"/>
    <numFmt numFmtId="165" formatCode="0.000"/>
    <numFmt numFmtId="166" formatCode="_ * #,##0_ ;_ * \-#,##0_ ;_ * &quot;-&quot;??_ ;_ @_ "/>
  </numFmts>
  <fonts count="6" x14ac:knownFonts="1">
    <font>
      <sz val="11"/>
      <color theme="1"/>
      <name val="Aptos Narrow"/>
      <family val="2"/>
      <scheme val="minor"/>
    </font>
    <font>
      <b/>
      <sz val="14"/>
      <color theme="1"/>
      <name val="Aptos Narrow"/>
      <scheme val="minor"/>
    </font>
    <font>
      <sz val="11"/>
      <color theme="1"/>
      <name val="Aptos Narrow"/>
      <family val="2"/>
      <scheme val="minor"/>
    </font>
    <font>
      <b/>
      <sz val="11"/>
      <color rgb="FFFFFFFF"/>
      <name val="Aptos"/>
    </font>
    <font>
      <sz val="11"/>
      <color theme="1"/>
      <name val="Aptos"/>
    </font>
    <font>
      <b/>
      <u/>
      <sz val="11"/>
      <color theme="1"/>
      <name val="Aptos Narrow"/>
      <family val="2"/>
      <scheme val="minor"/>
    </font>
  </fonts>
  <fills count="3">
    <fill>
      <patternFill patternType="none"/>
    </fill>
    <fill>
      <patternFill patternType="gray125"/>
    </fill>
    <fill>
      <patternFill patternType="solid">
        <fgColor rgb="FF1D4E78"/>
        <bgColor indexed="64"/>
      </patternFill>
    </fill>
  </fills>
  <borders count="1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3" fontId="2" fillId="0" borderId="0" applyFont="0" applyFill="0" applyBorder="0" applyAlignment="0" applyProtection="0"/>
  </cellStyleXfs>
  <cellXfs count="31">
    <xf numFmtId="0" fontId="0" fillId="0" borderId="0" xfId="0"/>
    <xf numFmtId="14"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3" fillId="2" borderId="0" xfId="0" applyFont="1" applyFill="1" applyAlignment="1">
      <alignment horizontal="left"/>
    </xf>
    <xf numFmtId="0" fontId="0" fillId="0" borderId="0" xfId="0" applyAlignment="1">
      <alignment horizontal="left" vertical="center"/>
    </xf>
    <xf numFmtId="0" fontId="0" fillId="0" borderId="0" xfId="0" applyAlignment="1">
      <alignment horizontal="right" vertical="center"/>
    </xf>
    <xf numFmtId="164" fontId="0" fillId="0" borderId="0" xfId="0" applyNumberFormat="1" applyAlignment="1">
      <alignment horizontal="right" vertical="center"/>
    </xf>
    <xf numFmtId="0" fontId="5" fillId="0" borderId="0" xfId="0" applyFont="1" applyAlignment="1">
      <alignment horizontal="center" vertical="center"/>
    </xf>
    <xf numFmtId="166" fontId="0" fillId="0" borderId="0" xfId="1" applyNumberFormat="1" applyFont="1" applyAlignment="1">
      <alignment horizontal="right" vertical="center"/>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0" xfId="0"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5" fillId="0" borderId="0" xfId="0" applyFont="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0" fillId="0" borderId="0" xfId="0" applyAlignment="1">
      <alignment horizontal="center" vertical="center"/>
    </xf>
    <xf numFmtId="0" fontId="4" fillId="0" borderId="0" xfId="0" applyFont="1"/>
    <xf numFmtId="164" fontId="0" fillId="0" borderId="0" xfId="0" applyNumberFormat="1"/>
    <xf numFmtId="14" fontId="0" fillId="0" borderId="0" xfId="0" applyNumberFormat="1"/>
  </cellXfs>
  <cellStyles count="2">
    <cellStyle name="Comma" xfId="1" builtinId="3"/>
    <cellStyle name="Normal" xfId="0" builtinId="0"/>
  </cellStyles>
  <dxfs count="18">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0.0000"/>
      <alignment horizontal="right"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164" formatCode="0.0000"/>
    </dxf>
    <dxf>
      <font>
        <b val="0"/>
        <i val="0"/>
        <strike val="0"/>
        <condense val="0"/>
        <extend val="0"/>
        <outline val="0"/>
        <shadow val="0"/>
        <u val="none"/>
        <vertAlign val="baseline"/>
        <sz val="11"/>
        <color theme="1"/>
        <name val="Aptos Narrow"/>
        <family val="2"/>
        <scheme val="minor"/>
      </font>
      <numFmt numFmtId="19" formatCode="dd/mm/yyyy"/>
    </dxf>
    <dxf>
      <font>
        <strike val="0"/>
        <outline val="0"/>
        <shadow val="0"/>
        <u val="none"/>
        <vertAlign val="baseline"/>
        <sz val="11"/>
        <color theme="1"/>
        <name val="Aptos Narrow"/>
        <family val="2"/>
        <scheme val="minor"/>
      </font>
    </dxf>
    <dxf>
      <font>
        <b/>
        <i val="0"/>
        <strike val="0"/>
        <condense val="0"/>
        <extend val="0"/>
        <outline val="0"/>
        <shadow val="0"/>
        <u val="none"/>
        <vertAlign val="baseline"/>
        <sz val="11"/>
        <color rgb="FFFFFFFF"/>
        <name val="Aptos"/>
        <scheme val="none"/>
      </font>
      <fill>
        <patternFill patternType="solid">
          <fgColor indexed="64"/>
          <bgColor rgb="FF1D4E78"/>
        </patternFill>
      </fill>
      <alignment horizontal="left"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231225-CC95-471F-83B9-9A6D6C047790}" name="Table35" displayName="Table35" ref="A1:D92" totalsRowShown="0" headerRowDxfId="17" dataDxfId="16">
  <autoFilter ref="A1:D92" xr:uid="{C654B76E-358A-4873-BC57-8D7A006C23D5}"/>
  <tableColumns count="4">
    <tableColumn id="1" xr3:uid="{4585F7CB-757F-4C3A-B1FC-EE614D6FDADB}" name="Date" dataDxfId="15"/>
    <tableColumn id="2" xr3:uid="{804AEFA5-508A-4949-AC8B-80BCB4C30237}" name="Daily_Reporting_Latency_Hours" dataDxfId="14"/>
    <tableColumn id="3" xr3:uid="{B079A7F2-D1D4-4A65-9109-D41191014946}" name="Operational_Phase" dataDxfId="13"/>
    <tableColumn id="4" xr3:uid="{E73BF206-86CF-4F06-9838-F256C3712153}" name="Compliance_Status" dataDxfId="12">
      <calculatedColumnFormula>IF(B2&gt;$G$3,"NC","C")</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5C15661-C4F2-44BE-86A3-53D5EC543CBD}" name="BalancedPrePostData6" displayName="BalancedPrePostData6" ref="A1:E91" totalsRowShown="0" headerRowDxfId="11" dataDxfId="10">
  <autoFilter ref="A1:E91" xr:uid="{6B875B69-748F-4938-ACE6-C2B5CC52ECE7}"/>
  <tableColumns count="5">
    <tableColumn id="1" xr3:uid="{AE33042E-ACF4-4637-A718-2F3390D81F9C}" name="Date" dataDxfId="9"/>
    <tableColumn id="2" xr3:uid="{2EB70024-7894-4B62-9AB1-FD9FBE7E3007}" name="Daily_Reporting_Latency_Hours" dataDxfId="8"/>
    <tableColumn id="3" xr3:uid="{43F76E1C-5CE8-4EEB-8858-FA0F5643F47A}" name="Operational_Phase" dataDxfId="7"/>
    <tableColumn id="4" xr3:uid="{57AA56AB-5E6E-4528-8398-36FC5357D8C2}" name="Compliance_Status" dataDxfId="6"/>
    <tableColumn id="5" xr3:uid="{F58184A1-5A38-4415-979D-C72230999C89}" name="Implementation_Group" dataDxfId="5">
      <calculatedColumnFormula>"Post-Implementation"</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3A4AD3A-5E2E-4BFC-ABFD-328DCF8F375D}" name="Table27" displayName="Table27" ref="A1:D92" totalsRowShown="0" headerRowDxfId="4">
  <autoFilter ref="A1:D92" xr:uid="{2CEB3334-A5C5-44B9-8807-03DE1FD7AEBF}"/>
  <tableColumns count="4">
    <tableColumn id="1" xr3:uid="{0B46FA24-63A4-44D5-92EB-763FB28211DE}" name="Date" dataDxfId="3"/>
    <tableColumn id="2" xr3:uid="{2466A9E3-DACE-4440-9580-23A9D3DEA069}" name="Daily_Reporting_Latency_Hours" dataDxfId="2"/>
    <tableColumn id="3" xr3:uid="{F42D0C69-D406-4F43-B57F-7BB1057CF000}" name="Operational_Phase" dataDxfId="1"/>
    <tableColumn id="4" xr3:uid="{CD833A27-2B16-4C04-B7EF-500ADFD58432}" name="Compliance_Status" dataDxfId="0">
      <calculatedColumnFormula>IF(B2&gt;$G$3,"NC","C")</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E31ABC6-773A-44A5-979B-9B4EA9E06BE8}">
  <we:reference id="wa200010215" version="2.0.0.0" store="en-US" storeType="OMEX"/>
  <we:alternateReferences>
    <we:reference id="WA200010215" version="2.0.0.0" store="" storeType="OMEX"/>
  </we:alternateReferences>
  <we:properties>
    <we:property name="bps.codex_control.document_id" value="&quot;25ed40f6-fa98-4a41-8e7e-13e5cf33ca7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5F02F-37EE-4C96-8F87-70464FACF7E8}">
  <dimension ref="A1:M92"/>
  <sheetViews>
    <sheetView workbookViewId="0">
      <selection activeCell="F15" sqref="F15:L20"/>
    </sheetView>
  </sheetViews>
  <sheetFormatPr defaultRowHeight="15" x14ac:dyDescent="0.25"/>
  <cols>
    <col min="1" max="1" width="10.42578125" style="4" bestFit="1" customWidth="1"/>
    <col min="2" max="2" width="9.5703125" style="4" customWidth="1"/>
    <col min="3" max="3" width="32.5703125" style="4" bestFit="1" customWidth="1"/>
    <col min="4" max="4" width="9.28515625" style="4" customWidth="1"/>
    <col min="5" max="5" width="16.85546875" style="4" customWidth="1"/>
    <col min="6" max="6" width="26.42578125" style="4" bestFit="1" customWidth="1"/>
    <col min="7" max="7" width="13.7109375" style="4" bestFit="1" customWidth="1"/>
    <col min="8" max="8" width="9.140625" style="4"/>
    <col min="9" max="9" width="30.7109375" style="4" customWidth="1"/>
    <col min="10" max="10" width="31" style="4" customWidth="1"/>
    <col min="11" max="13" width="9.140625" style="4"/>
  </cols>
  <sheetData>
    <row r="1" spans="1:12" x14ac:dyDescent="0.25">
      <c r="A1" s="6" t="s">
        <v>0</v>
      </c>
      <c r="B1" s="6" t="s">
        <v>1</v>
      </c>
      <c r="C1" s="6" t="s">
        <v>2</v>
      </c>
      <c r="D1" s="6" t="s">
        <v>22</v>
      </c>
    </row>
    <row r="2" spans="1:12" x14ac:dyDescent="0.25">
      <c r="A2" s="1">
        <v>46036</v>
      </c>
      <c r="B2" s="7">
        <v>1.25</v>
      </c>
      <c r="C2" s="4" t="s">
        <v>3</v>
      </c>
      <c r="D2" s="4" t="str">
        <f>IF(B2&gt;$G$3,"NC","C")</f>
        <v>NC</v>
      </c>
      <c r="F2" s="4" t="s">
        <v>8</v>
      </c>
      <c r="G2" s="4">
        <f>PERCENTILE(B2:B92,0.5)</f>
        <v>1.1399999999999999</v>
      </c>
    </row>
    <row r="3" spans="1:12" x14ac:dyDescent="0.25">
      <c r="A3" s="1">
        <v>46037</v>
      </c>
      <c r="B3" s="7">
        <v>1.1599999999999999</v>
      </c>
      <c r="C3" s="4" t="s">
        <v>3</v>
      </c>
      <c r="D3" s="4" t="str">
        <f>IF(B3&gt;$G$3,"NC","C")</f>
        <v>NC</v>
      </c>
      <c r="F3" s="4" t="s">
        <v>9</v>
      </c>
      <c r="G3" s="4">
        <f>PERCENTILE(B2:B92,0.25)</f>
        <v>1.0049999999999999</v>
      </c>
      <c r="H3" s="4" t="s">
        <v>10</v>
      </c>
    </row>
    <row r="4" spans="1:12" x14ac:dyDescent="0.25">
      <c r="A4" s="1">
        <v>46038</v>
      </c>
      <c r="B4" s="7">
        <v>1.28</v>
      </c>
      <c r="C4" s="4" t="s">
        <v>3</v>
      </c>
      <c r="D4" s="4" t="str">
        <f>IF(B4&gt;$G$3,"NC","C")</f>
        <v>NC</v>
      </c>
    </row>
    <row r="5" spans="1:12" x14ac:dyDescent="0.25">
      <c r="A5" s="1">
        <v>46039</v>
      </c>
      <c r="B5" s="7">
        <v>1.41</v>
      </c>
      <c r="C5" s="4" t="s">
        <v>3</v>
      </c>
      <c r="D5" s="4" t="str">
        <f>IF(B5&gt;$G$3,"NC","C")</f>
        <v>NC</v>
      </c>
    </row>
    <row r="6" spans="1:12" x14ac:dyDescent="0.25">
      <c r="A6" s="1">
        <v>46040</v>
      </c>
      <c r="B6" s="7">
        <v>1.1399999999999999</v>
      </c>
      <c r="C6" s="4" t="s">
        <v>3</v>
      </c>
      <c r="D6" s="4" t="str">
        <f>IF(B6&gt;$G$3,"NC","C")</f>
        <v>NC</v>
      </c>
      <c r="F6" s="20" t="s">
        <v>19</v>
      </c>
      <c r="G6" s="20"/>
      <c r="H6" s="9"/>
      <c r="I6" s="9" t="s">
        <v>38</v>
      </c>
      <c r="J6" s="9" t="s">
        <v>27</v>
      </c>
    </row>
    <row r="7" spans="1:12" x14ac:dyDescent="0.25">
      <c r="A7" s="1">
        <v>46041</v>
      </c>
      <c r="B7" s="7">
        <v>1.1399999999999999</v>
      </c>
      <c r="C7" s="4" t="s">
        <v>3</v>
      </c>
      <c r="D7" s="4" t="str">
        <f>IF(B7&gt;$G$3,"NC","C")</f>
        <v>NC</v>
      </c>
      <c r="F7" s="4" t="s">
        <v>14</v>
      </c>
      <c r="G7" s="7">
        <f>COUNTIF(D2:D92,"NC")</f>
        <v>68</v>
      </c>
    </row>
    <row r="8" spans="1:12" x14ac:dyDescent="0.25">
      <c r="A8" s="1">
        <v>46042</v>
      </c>
      <c r="B8" s="7">
        <v>1.42</v>
      </c>
      <c r="C8" s="4" t="s">
        <v>3</v>
      </c>
      <c r="D8" s="4" t="str">
        <f>IF(B8&gt;$G$3,"NC","C")</f>
        <v>NC</v>
      </c>
      <c r="F8" s="4" t="s">
        <v>15</v>
      </c>
      <c r="G8" s="7">
        <f>COUNT(A2:A92)</f>
        <v>91</v>
      </c>
    </row>
    <row r="9" spans="1:12" x14ac:dyDescent="0.25">
      <c r="A9" s="1">
        <v>46043</v>
      </c>
      <c r="B9" s="7">
        <v>1.3</v>
      </c>
      <c r="C9" s="4" t="s">
        <v>3</v>
      </c>
      <c r="D9" s="4" t="str">
        <f>IF(B9&gt;$G$3,"NC","C")</f>
        <v>NC</v>
      </c>
      <c r="F9" s="4" t="s">
        <v>16</v>
      </c>
      <c r="G9" s="8">
        <f>G7/G8</f>
        <v>0.74725274725274726</v>
      </c>
      <c r="I9" s="2" t="s">
        <v>28</v>
      </c>
      <c r="J9" s="4" t="s">
        <v>29</v>
      </c>
    </row>
    <row r="10" spans="1:12" x14ac:dyDescent="0.25">
      <c r="A10" s="1">
        <v>46044</v>
      </c>
      <c r="B10" s="7">
        <v>1.1100000000000001</v>
      </c>
      <c r="C10" s="4" t="s">
        <v>3</v>
      </c>
      <c r="D10" s="4" t="str">
        <f>IF(B10&gt;$G$3,"NC","C")</f>
        <v>NC</v>
      </c>
      <c r="F10" s="4" t="s">
        <v>17</v>
      </c>
      <c r="G10" s="10">
        <f>G9*1000000</f>
        <v>747252.7472527473</v>
      </c>
      <c r="I10" s="2" t="s">
        <v>32</v>
      </c>
      <c r="J10" s="4" t="s">
        <v>33</v>
      </c>
    </row>
    <row r="11" spans="1:12" x14ac:dyDescent="0.25">
      <c r="A11" s="1">
        <v>46045</v>
      </c>
      <c r="B11" s="7">
        <v>1.26</v>
      </c>
      <c r="C11" s="4" t="s">
        <v>3</v>
      </c>
      <c r="D11" s="4" t="str">
        <f>IF(B11&gt;$G$3,"NC","C")</f>
        <v>NC</v>
      </c>
      <c r="F11" s="4" t="s">
        <v>25</v>
      </c>
      <c r="G11" s="8">
        <f>NORMSINV(1-G9)</f>
        <v>-0.66586951800104843</v>
      </c>
      <c r="I11" s="2" t="s">
        <v>26</v>
      </c>
      <c r="J11" s="4" t="s">
        <v>31</v>
      </c>
    </row>
    <row r="12" spans="1:12" x14ac:dyDescent="0.25">
      <c r="A12" s="1">
        <v>46046</v>
      </c>
      <c r="B12" s="7">
        <v>1.1100000000000001</v>
      </c>
      <c r="C12" s="4" t="s">
        <v>3</v>
      </c>
      <c r="D12" s="4" t="str">
        <f>IF(B12&gt;$G$3,"NC","C")</f>
        <v>NC</v>
      </c>
    </row>
    <row r="13" spans="1:12" ht="15.75" thickBot="1" x14ac:dyDescent="0.3">
      <c r="A13" s="1">
        <v>46047</v>
      </c>
      <c r="B13" s="7">
        <v>1.1100000000000001</v>
      </c>
      <c r="C13" s="4" t="s">
        <v>3</v>
      </c>
      <c r="D13" s="4" t="str">
        <f>IF(B13&gt;$G$3,"NC","C")</f>
        <v>NC</v>
      </c>
    </row>
    <row r="14" spans="1:12" ht="22.5" customHeight="1" thickBot="1" x14ac:dyDescent="0.3">
      <c r="A14" s="1">
        <v>46048</v>
      </c>
      <c r="B14" s="7">
        <v>1.22</v>
      </c>
      <c r="C14" s="4" t="s">
        <v>3</v>
      </c>
      <c r="D14" s="4" t="str">
        <f>IF(B14&gt;$G$3,"NC","C")</f>
        <v>NC</v>
      </c>
      <c r="F14" s="24" t="s">
        <v>12</v>
      </c>
      <c r="G14" s="25"/>
      <c r="H14" s="25"/>
      <c r="I14" s="25"/>
      <c r="J14" s="25"/>
      <c r="K14" s="25"/>
      <c r="L14" s="26"/>
    </row>
    <row r="15" spans="1:12" ht="15.75" thickBot="1" x14ac:dyDescent="0.3">
      <c r="A15" s="1">
        <v>46049</v>
      </c>
      <c r="B15" s="7">
        <v>0.89</v>
      </c>
      <c r="C15" s="4" t="s">
        <v>3</v>
      </c>
      <c r="D15" s="4" t="str">
        <f>IF(B15&gt;$G$3,"NC","C")</f>
        <v>C</v>
      </c>
      <c r="F15" s="21" t="s">
        <v>11</v>
      </c>
      <c r="G15" s="22"/>
      <c r="H15" s="22"/>
      <c r="I15" s="22"/>
      <c r="J15" s="22"/>
      <c r="K15" s="22"/>
      <c r="L15" s="23"/>
    </row>
    <row r="16" spans="1:12" x14ac:dyDescent="0.25">
      <c r="A16" s="1">
        <v>46050</v>
      </c>
      <c r="B16" s="7">
        <v>0.92</v>
      </c>
      <c r="C16" s="4" t="s">
        <v>3</v>
      </c>
      <c r="D16" s="4" t="str">
        <f>IF(B16&gt;$G$3,"NC","C")</f>
        <v>C</v>
      </c>
    </row>
    <row r="17" spans="1:12" x14ac:dyDescent="0.25">
      <c r="A17" s="1">
        <v>46051</v>
      </c>
      <c r="B17" s="7">
        <v>1.1000000000000001</v>
      </c>
      <c r="C17" s="4" t="s">
        <v>3</v>
      </c>
      <c r="D17" s="4" t="str">
        <f>IF(B17&gt;$G$3,"NC","C")</f>
        <v>NC</v>
      </c>
    </row>
    <row r="18" spans="1:12" ht="23.25" customHeight="1" x14ac:dyDescent="0.25">
      <c r="A18" s="1">
        <v>46052</v>
      </c>
      <c r="B18" s="7">
        <v>1.03</v>
      </c>
      <c r="C18" s="4" t="s">
        <v>3</v>
      </c>
      <c r="D18" s="4" t="str">
        <f>IF(B18&gt;$G$3,"NC","C")</f>
        <v>NC</v>
      </c>
    </row>
    <row r="19" spans="1:12" x14ac:dyDescent="0.25">
      <c r="A19" s="1">
        <v>46053</v>
      </c>
      <c r="B19" s="7">
        <v>1.23</v>
      </c>
      <c r="C19" s="4" t="s">
        <v>3</v>
      </c>
      <c r="D19" s="4" t="str">
        <f>IF(B19&gt;$G$3,"NC","C")</f>
        <v>NC</v>
      </c>
    </row>
    <row r="20" spans="1:12" x14ac:dyDescent="0.25">
      <c r="A20" s="1">
        <v>46054</v>
      </c>
      <c r="B20" s="7">
        <v>1.04</v>
      </c>
      <c r="C20" s="4" t="s">
        <v>3</v>
      </c>
      <c r="D20" s="4" t="str">
        <f>IF(B20&gt;$G$3,"NC","C")</f>
        <v>NC</v>
      </c>
    </row>
    <row r="21" spans="1:12" x14ac:dyDescent="0.25">
      <c r="A21" s="1">
        <v>46055</v>
      </c>
      <c r="B21" s="7">
        <v>0.97</v>
      </c>
      <c r="C21" s="4" t="s">
        <v>3</v>
      </c>
      <c r="D21" s="4" t="str">
        <f>IF(B21&gt;$G$3,"NC","C")</f>
        <v>C</v>
      </c>
    </row>
    <row r="22" spans="1:12" x14ac:dyDescent="0.25">
      <c r="A22" s="1">
        <v>46056</v>
      </c>
      <c r="B22" s="7">
        <v>1.4</v>
      </c>
      <c r="C22" s="4" t="s">
        <v>3</v>
      </c>
      <c r="D22" s="4" t="str">
        <f>IF(B22&gt;$G$3,"NC","C")</f>
        <v>NC</v>
      </c>
    </row>
    <row r="23" spans="1:12" ht="15.75" thickBot="1" x14ac:dyDescent="0.3">
      <c r="A23" s="1">
        <v>46057</v>
      </c>
      <c r="B23" s="7">
        <v>1.1499999999999999</v>
      </c>
      <c r="C23" s="4" t="s">
        <v>3</v>
      </c>
      <c r="D23" s="4" t="str">
        <f>IF(B23&gt;$G$3,"NC","C")</f>
        <v>NC</v>
      </c>
    </row>
    <row r="24" spans="1:12" ht="19.5" thickBot="1" x14ac:dyDescent="0.3">
      <c r="A24" s="1">
        <v>46058</v>
      </c>
      <c r="B24" s="7">
        <v>1.19</v>
      </c>
      <c r="C24" s="4" t="s">
        <v>3</v>
      </c>
      <c r="D24" s="4" t="str">
        <f>IF(B24&gt;$G$3,"NC","C")</f>
        <v>NC</v>
      </c>
      <c r="F24" s="24" t="s">
        <v>13</v>
      </c>
      <c r="G24" s="25"/>
      <c r="H24" s="25"/>
      <c r="I24" s="25"/>
      <c r="J24" s="25"/>
      <c r="K24" s="25"/>
      <c r="L24" s="26"/>
    </row>
    <row r="25" spans="1:12" x14ac:dyDescent="0.25">
      <c r="A25" s="1">
        <v>46059</v>
      </c>
      <c r="B25" s="7">
        <v>0.97</v>
      </c>
      <c r="C25" s="4" t="s">
        <v>3</v>
      </c>
      <c r="D25" s="4" t="str">
        <f>IF(B25&gt;$G$3,"NC","C")</f>
        <v>C</v>
      </c>
      <c r="F25" s="11" t="s">
        <v>20</v>
      </c>
      <c r="G25" s="12"/>
      <c r="H25" s="12"/>
      <c r="I25" s="12"/>
      <c r="J25" s="12"/>
      <c r="K25" s="12"/>
      <c r="L25" s="13"/>
    </row>
    <row r="26" spans="1:12" x14ac:dyDescent="0.25">
      <c r="A26" s="1">
        <v>46060</v>
      </c>
      <c r="B26" s="7">
        <v>1.1000000000000001</v>
      </c>
      <c r="C26" s="4" t="s">
        <v>3</v>
      </c>
      <c r="D26" s="4" t="str">
        <f>IF(B26&gt;$G$3,"NC","C")</f>
        <v>NC</v>
      </c>
      <c r="F26" s="14"/>
      <c r="G26" s="15"/>
      <c r="H26" s="15"/>
      <c r="I26" s="15"/>
      <c r="J26" s="15"/>
      <c r="K26" s="15"/>
      <c r="L26" s="16"/>
    </row>
    <row r="27" spans="1:12" x14ac:dyDescent="0.25">
      <c r="A27" s="1">
        <v>46061</v>
      </c>
      <c r="B27" s="7">
        <v>1.2</v>
      </c>
      <c r="C27" s="4" t="s">
        <v>3</v>
      </c>
      <c r="D27" s="4" t="str">
        <f>IF(B27&gt;$G$3,"NC","C")</f>
        <v>NC</v>
      </c>
      <c r="F27" s="14"/>
      <c r="G27" s="15"/>
      <c r="H27" s="15"/>
      <c r="I27" s="15"/>
      <c r="J27" s="15"/>
      <c r="K27" s="15"/>
      <c r="L27" s="16"/>
    </row>
    <row r="28" spans="1:12" x14ac:dyDescent="0.25">
      <c r="A28" s="1">
        <v>46062</v>
      </c>
      <c r="B28" s="7">
        <v>1.01</v>
      </c>
      <c r="C28" s="4" t="s">
        <v>3</v>
      </c>
      <c r="D28" s="4" t="str">
        <f>IF(B28&gt;$G$3,"NC","C")</f>
        <v>NC</v>
      </c>
      <c r="F28" s="14"/>
      <c r="G28" s="15"/>
      <c r="H28" s="15"/>
      <c r="I28" s="15"/>
      <c r="J28" s="15"/>
      <c r="K28" s="15"/>
      <c r="L28" s="16"/>
    </row>
    <row r="29" spans="1:12" ht="15.75" thickBot="1" x14ac:dyDescent="0.3">
      <c r="A29" s="1">
        <v>46063</v>
      </c>
      <c r="B29" s="7">
        <v>1.24</v>
      </c>
      <c r="C29" s="4" t="s">
        <v>3</v>
      </c>
      <c r="D29" s="4" t="str">
        <f>IF(B29&gt;$G$3,"NC","C")</f>
        <v>NC</v>
      </c>
      <c r="F29" s="17"/>
      <c r="G29" s="18"/>
      <c r="H29" s="18"/>
      <c r="I29" s="18"/>
      <c r="J29" s="18"/>
      <c r="K29" s="18"/>
      <c r="L29" s="19"/>
    </row>
    <row r="30" spans="1:12" x14ac:dyDescent="0.25">
      <c r="A30" s="1">
        <v>46064</v>
      </c>
      <c r="B30" s="7">
        <v>1.0900000000000001</v>
      </c>
      <c r="C30" s="4" t="s">
        <v>3</v>
      </c>
      <c r="D30" s="4" t="str">
        <f>IF(B30&gt;$G$3,"NC","C")</f>
        <v>NC</v>
      </c>
    </row>
    <row r="31" spans="1:12" x14ac:dyDescent="0.25">
      <c r="A31" s="1">
        <v>46065</v>
      </c>
      <c r="B31" s="7">
        <v>1.1399999999999999</v>
      </c>
      <c r="C31" s="4" t="s">
        <v>3</v>
      </c>
      <c r="D31" s="4" t="str">
        <f>IF(B31&gt;$G$3,"NC","C")</f>
        <v>NC</v>
      </c>
    </row>
    <row r="32" spans="1:12" x14ac:dyDescent="0.25">
      <c r="A32" s="1">
        <v>46066</v>
      </c>
      <c r="B32" s="7">
        <v>1.0900000000000001</v>
      </c>
      <c r="C32" s="4" t="s">
        <v>3</v>
      </c>
      <c r="D32" s="4" t="str">
        <f>IF(B32&gt;$G$3,"NC","C")</f>
        <v>NC</v>
      </c>
    </row>
    <row r="33" spans="1:4" x14ac:dyDescent="0.25">
      <c r="A33" s="1">
        <v>46067</v>
      </c>
      <c r="B33" s="7">
        <v>1.46</v>
      </c>
      <c r="C33" s="4" t="s">
        <v>3</v>
      </c>
      <c r="D33" s="4" t="str">
        <f>IF(B33&gt;$G$3,"NC","C")</f>
        <v>NC</v>
      </c>
    </row>
    <row r="34" spans="1:4" x14ac:dyDescent="0.25">
      <c r="A34" s="1">
        <v>46068</v>
      </c>
      <c r="B34" s="7">
        <v>1.18</v>
      </c>
      <c r="C34" s="4" t="s">
        <v>3</v>
      </c>
      <c r="D34" s="4" t="str">
        <f>IF(B34&gt;$G$3,"NC","C")</f>
        <v>NC</v>
      </c>
    </row>
    <row r="35" spans="1:4" x14ac:dyDescent="0.25">
      <c r="A35" s="1">
        <v>46069</v>
      </c>
      <c r="B35" s="7">
        <v>1.02</v>
      </c>
      <c r="C35" s="4" t="s">
        <v>3</v>
      </c>
      <c r="D35" s="4" t="str">
        <f>IF(B35&gt;$G$3,"NC","C")</f>
        <v>NC</v>
      </c>
    </row>
    <row r="36" spans="1:4" x14ac:dyDescent="0.25">
      <c r="A36" s="1">
        <v>46070</v>
      </c>
      <c r="B36" s="7">
        <v>1.3</v>
      </c>
      <c r="C36" s="4" t="s">
        <v>3</v>
      </c>
      <c r="D36" s="4" t="str">
        <f>IF(B36&gt;$G$3,"NC","C")</f>
        <v>NC</v>
      </c>
    </row>
    <row r="37" spans="1:4" x14ac:dyDescent="0.25">
      <c r="A37" s="1">
        <v>46071</v>
      </c>
      <c r="B37" s="7">
        <v>1</v>
      </c>
      <c r="C37" s="4" t="s">
        <v>3</v>
      </c>
      <c r="D37" s="4" t="str">
        <f>IF(B37&gt;$G$3,"NC","C")</f>
        <v>C</v>
      </c>
    </row>
    <row r="38" spans="1:4" x14ac:dyDescent="0.25">
      <c r="A38" s="1">
        <v>46072</v>
      </c>
      <c r="B38" s="7">
        <v>1.21</v>
      </c>
      <c r="C38" s="4" t="s">
        <v>3</v>
      </c>
      <c r="D38" s="4" t="str">
        <f>IF(B38&gt;$G$3,"NC","C")</f>
        <v>NC</v>
      </c>
    </row>
    <row r="39" spans="1:4" x14ac:dyDescent="0.25">
      <c r="A39" s="1">
        <v>46073</v>
      </c>
      <c r="B39" s="7">
        <v>0.89</v>
      </c>
      <c r="C39" s="4" t="s">
        <v>3</v>
      </c>
      <c r="D39" s="4" t="str">
        <f>IF(B39&gt;$G$3,"NC","C")</f>
        <v>C</v>
      </c>
    </row>
    <row r="40" spans="1:4" x14ac:dyDescent="0.25">
      <c r="A40" s="1">
        <v>46074</v>
      </c>
      <c r="B40" s="7">
        <v>0.98</v>
      </c>
      <c r="C40" s="4" t="s">
        <v>3</v>
      </c>
      <c r="D40" s="4" t="str">
        <f>IF(B40&gt;$G$3,"NC","C")</f>
        <v>C</v>
      </c>
    </row>
    <row r="41" spans="1:4" x14ac:dyDescent="0.25">
      <c r="A41" s="1">
        <v>46075</v>
      </c>
      <c r="B41" s="7">
        <v>1.21</v>
      </c>
      <c r="C41" s="4" t="s">
        <v>3</v>
      </c>
      <c r="D41" s="4" t="str">
        <f>IF(B41&gt;$G$3,"NC","C")</f>
        <v>NC</v>
      </c>
    </row>
    <row r="42" spans="1:4" x14ac:dyDescent="0.25">
      <c r="A42" s="1">
        <v>46076</v>
      </c>
      <c r="B42" s="7">
        <v>1.29</v>
      </c>
      <c r="C42" s="4" t="s">
        <v>3</v>
      </c>
      <c r="D42" s="4" t="str">
        <f>IF(B42&gt;$G$3,"NC","C")</f>
        <v>NC</v>
      </c>
    </row>
    <row r="43" spans="1:4" x14ac:dyDescent="0.25">
      <c r="A43" s="1">
        <v>46077</v>
      </c>
      <c r="B43" s="7">
        <v>1.21</v>
      </c>
      <c r="C43" s="4" t="s">
        <v>3</v>
      </c>
      <c r="D43" s="4" t="str">
        <f>IF(B43&gt;$G$3,"NC","C")</f>
        <v>NC</v>
      </c>
    </row>
    <row r="44" spans="1:4" x14ac:dyDescent="0.25">
      <c r="A44" s="1">
        <v>46078</v>
      </c>
      <c r="B44" s="7">
        <v>1.1599999999999999</v>
      </c>
      <c r="C44" s="4" t="s">
        <v>3</v>
      </c>
      <c r="D44" s="4" t="str">
        <f>IF(B44&gt;$G$3,"NC","C")</f>
        <v>NC</v>
      </c>
    </row>
    <row r="45" spans="1:4" x14ac:dyDescent="0.25">
      <c r="A45" s="1">
        <v>46079</v>
      </c>
      <c r="B45" s="7">
        <v>1.1299999999999999</v>
      </c>
      <c r="C45" s="4" t="s">
        <v>3</v>
      </c>
      <c r="D45" s="4" t="str">
        <f>IF(B45&gt;$G$3,"NC","C")</f>
        <v>NC</v>
      </c>
    </row>
    <row r="46" spans="1:4" x14ac:dyDescent="0.25">
      <c r="A46" s="1">
        <v>46080</v>
      </c>
      <c r="B46" s="7">
        <v>0.96</v>
      </c>
      <c r="C46" s="4" t="s">
        <v>3</v>
      </c>
      <c r="D46" s="4" t="str">
        <f>IF(B46&gt;$G$3,"NC","C")</f>
        <v>C</v>
      </c>
    </row>
    <row r="47" spans="1:4" x14ac:dyDescent="0.25">
      <c r="A47" s="1">
        <v>46081</v>
      </c>
      <c r="B47" s="7">
        <v>1.07</v>
      </c>
      <c r="C47" s="4" t="s">
        <v>3</v>
      </c>
      <c r="D47" s="4" t="str">
        <f>IF(B47&gt;$G$3,"NC","C")</f>
        <v>NC</v>
      </c>
    </row>
    <row r="48" spans="1:4" x14ac:dyDescent="0.25">
      <c r="A48" s="1">
        <v>46082</v>
      </c>
      <c r="B48" s="7">
        <v>1.1100000000000001</v>
      </c>
      <c r="C48" s="4" t="s">
        <v>3</v>
      </c>
      <c r="D48" s="4" t="str">
        <f>IF(B48&gt;$G$3,"NC","C")</f>
        <v>NC</v>
      </c>
    </row>
    <row r="49" spans="1:4" x14ac:dyDescent="0.25">
      <c r="A49" s="1">
        <v>46083</v>
      </c>
      <c r="B49" s="7">
        <v>1.34</v>
      </c>
      <c r="C49" s="4" t="s">
        <v>3</v>
      </c>
      <c r="D49" s="4" t="str">
        <f>IF(B49&gt;$G$3,"NC","C")</f>
        <v>NC</v>
      </c>
    </row>
    <row r="50" spans="1:4" x14ac:dyDescent="0.25">
      <c r="A50" s="1">
        <v>46084</v>
      </c>
      <c r="B50" s="7">
        <v>1.23</v>
      </c>
      <c r="C50" s="4" t="s">
        <v>3</v>
      </c>
      <c r="D50" s="4" t="str">
        <f>IF(B50&gt;$G$3,"NC","C")</f>
        <v>NC</v>
      </c>
    </row>
    <row r="51" spans="1:4" x14ac:dyDescent="0.25">
      <c r="A51" s="1">
        <v>46085</v>
      </c>
      <c r="B51" s="7">
        <v>0.92</v>
      </c>
      <c r="C51" s="4" t="s">
        <v>3</v>
      </c>
      <c r="D51" s="4" t="str">
        <f>IF(B51&gt;$G$3,"NC","C")</f>
        <v>C</v>
      </c>
    </row>
    <row r="52" spans="1:4" x14ac:dyDescent="0.25">
      <c r="A52" s="1">
        <v>46086</v>
      </c>
      <c r="B52" s="7">
        <v>1.23</v>
      </c>
      <c r="C52" s="4" t="s">
        <v>3</v>
      </c>
      <c r="D52" s="4" t="str">
        <f>IF(B52&gt;$G$3,"NC","C")</f>
        <v>NC</v>
      </c>
    </row>
    <row r="53" spans="1:4" x14ac:dyDescent="0.25">
      <c r="A53" s="1">
        <v>46087</v>
      </c>
      <c r="B53" s="7">
        <v>1.1200000000000001</v>
      </c>
      <c r="C53" s="4" t="s">
        <v>3</v>
      </c>
      <c r="D53" s="4" t="str">
        <f>IF(B53&gt;$G$3,"NC","C")</f>
        <v>NC</v>
      </c>
    </row>
    <row r="54" spans="1:4" x14ac:dyDescent="0.25">
      <c r="A54" s="1">
        <v>46088</v>
      </c>
      <c r="B54" s="7">
        <v>1.08</v>
      </c>
      <c r="C54" s="4" t="s">
        <v>3</v>
      </c>
      <c r="D54" s="4" t="str">
        <f>IF(B54&gt;$G$3,"NC","C")</f>
        <v>NC</v>
      </c>
    </row>
    <row r="55" spans="1:4" x14ac:dyDescent="0.25">
      <c r="A55" s="1">
        <v>46089</v>
      </c>
      <c r="B55" s="7">
        <v>1.27</v>
      </c>
      <c r="C55" s="4" t="s">
        <v>3</v>
      </c>
      <c r="D55" s="4" t="str">
        <f>IF(B55&gt;$G$3,"NC","C")</f>
        <v>NC</v>
      </c>
    </row>
    <row r="56" spans="1:4" x14ac:dyDescent="0.25">
      <c r="A56" s="1">
        <v>46090</v>
      </c>
      <c r="B56" s="7">
        <v>1.33</v>
      </c>
      <c r="C56" s="4" t="s">
        <v>3</v>
      </c>
      <c r="D56" s="4" t="str">
        <f>IF(B56&gt;$G$3,"NC","C")</f>
        <v>NC</v>
      </c>
    </row>
    <row r="57" spans="1:4" x14ac:dyDescent="0.25">
      <c r="A57" s="1">
        <v>46091</v>
      </c>
      <c r="B57" s="7">
        <v>1.32</v>
      </c>
      <c r="C57" s="4" t="s">
        <v>3</v>
      </c>
      <c r="D57" s="4" t="str">
        <f>IF(B57&gt;$G$3,"NC","C")</f>
        <v>NC</v>
      </c>
    </row>
    <row r="58" spans="1:4" x14ac:dyDescent="0.25">
      <c r="A58" s="1">
        <v>46092</v>
      </c>
      <c r="B58" s="7">
        <v>1.05</v>
      </c>
      <c r="C58" s="4" t="s">
        <v>3</v>
      </c>
      <c r="D58" s="4" t="str">
        <f>IF(B58&gt;$G$3,"NC","C")</f>
        <v>NC</v>
      </c>
    </row>
    <row r="59" spans="1:4" x14ac:dyDescent="0.25">
      <c r="A59" s="1">
        <v>46093</v>
      </c>
      <c r="B59" s="7">
        <v>1.1299999999999999</v>
      </c>
      <c r="C59" s="4" t="s">
        <v>3</v>
      </c>
      <c r="D59" s="4" t="str">
        <f>IF(B59&gt;$G$3,"NC","C")</f>
        <v>NC</v>
      </c>
    </row>
    <row r="60" spans="1:4" x14ac:dyDescent="0.25">
      <c r="A60" s="1">
        <v>46094</v>
      </c>
      <c r="B60" s="7">
        <v>1.23</v>
      </c>
      <c r="C60" s="4" t="s">
        <v>3</v>
      </c>
      <c r="D60" s="4" t="str">
        <f>IF(B60&gt;$G$3,"NC","C")</f>
        <v>NC</v>
      </c>
    </row>
    <row r="61" spans="1:4" x14ac:dyDescent="0.25">
      <c r="A61" s="1">
        <v>46095</v>
      </c>
      <c r="B61" s="7">
        <v>1.33</v>
      </c>
      <c r="C61" s="4" t="s">
        <v>3</v>
      </c>
      <c r="D61" s="4" t="str">
        <f>IF(B61&gt;$G$3,"NC","C")</f>
        <v>NC</v>
      </c>
    </row>
    <row r="62" spans="1:4" x14ac:dyDescent="0.25">
      <c r="A62" s="1">
        <v>46096</v>
      </c>
      <c r="B62" s="7">
        <v>1.1100000000000001</v>
      </c>
      <c r="C62" s="4" t="s">
        <v>3</v>
      </c>
      <c r="D62" s="4" t="str">
        <f>IF(B62&gt;$G$3,"NC","C")</f>
        <v>NC</v>
      </c>
    </row>
    <row r="63" spans="1:4" x14ac:dyDescent="0.25">
      <c r="A63" s="1">
        <v>46097</v>
      </c>
      <c r="B63" s="7">
        <v>1.1499999999999999</v>
      </c>
      <c r="C63" s="4" t="s">
        <v>3</v>
      </c>
      <c r="D63" s="4" t="str">
        <f>IF(B63&gt;$G$3,"NC","C")</f>
        <v>NC</v>
      </c>
    </row>
    <row r="64" spans="1:4" x14ac:dyDescent="0.25">
      <c r="A64" s="1">
        <v>46098</v>
      </c>
      <c r="B64" s="7">
        <v>1.01</v>
      </c>
      <c r="C64" s="4" t="s">
        <v>3</v>
      </c>
      <c r="D64" s="4" t="str">
        <f>IF(B64&gt;$G$3,"NC","C")</f>
        <v>NC</v>
      </c>
    </row>
    <row r="65" spans="1:4" x14ac:dyDescent="0.25">
      <c r="A65" s="1">
        <v>46099</v>
      </c>
      <c r="B65" s="7">
        <v>1</v>
      </c>
      <c r="C65" s="4" t="s">
        <v>3</v>
      </c>
      <c r="D65" s="4" t="str">
        <f>IF(B65&gt;$G$3,"NC","C")</f>
        <v>C</v>
      </c>
    </row>
    <row r="66" spans="1:4" x14ac:dyDescent="0.25">
      <c r="A66" s="1">
        <v>46100</v>
      </c>
      <c r="B66" s="7">
        <v>1.3</v>
      </c>
      <c r="C66" s="4" t="s">
        <v>3</v>
      </c>
      <c r="D66" s="4" t="str">
        <f>IF(B66&gt;$G$3,"NC","C")</f>
        <v>NC</v>
      </c>
    </row>
    <row r="67" spans="1:4" x14ac:dyDescent="0.25">
      <c r="A67" s="1">
        <v>46101</v>
      </c>
      <c r="B67" s="7">
        <v>1.38</v>
      </c>
      <c r="C67" s="4" t="s">
        <v>3</v>
      </c>
      <c r="D67" s="4" t="str">
        <f>IF(B67&gt;$G$3,"NC","C")</f>
        <v>NC</v>
      </c>
    </row>
    <row r="68" spans="1:4" x14ac:dyDescent="0.25">
      <c r="A68" s="1">
        <v>46102</v>
      </c>
      <c r="B68" s="7">
        <v>1.17</v>
      </c>
      <c r="C68" s="4" t="s">
        <v>3</v>
      </c>
      <c r="D68" s="4" t="str">
        <f>IF(B68&gt;$G$3,"NC","C")</f>
        <v>NC</v>
      </c>
    </row>
    <row r="69" spans="1:4" x14ac:dyDescent="0.25">
      <c r="A69" s="1">
        <v>46103</v>
      </c>
      <c r="B69" s="7">
        <v>1.33</v>
      </c>
      <c r="C69" s="4" t="s">
        <v>3</v>
      </c>
      <c r="D69" s="4" t="str">
        <f>IF(B69&gt;$G$3,"NC","C")</f>
        <v>NC</v>
      </c>
    </row>
    <row r="70" spans="1:4" x14ac:dyDescent="0.25">
      <c r="A70" s="1">
        <v>46104</v>
      </c>
      <c r="B70" s="7">
        <v>2.37</v>
      </c>
      <c r="C70" s="4" t="s">
        <v>4</v>
      </c>
      <c r="D70" s="4" t="str">
        <f>IF(B70&gt;$G$3,"NC","C")</f>
        <v>NC</v>
      </c>
    </row>
    <row r="71" spans="1:4" x14ac:dyDescent="0.25">
      <c r="A71" s="1">
        <v>46105</v>
      </c>
      <c r="B71" s="7">
        <v>2.46</v>
      </c>
      <c r="C71" s="4" t="s">
        <v>4</v>
      </c>
      <c r="D71" s="4" t="str">
        <f>IF(B71&gt;$G$3,"NC","C")</f>
        <v>NC</v>
      </c>
    </row>
    <row r="72" spans="1:4" x14ac:dyDescent="0.25">
      <c r="A72" s="1">
        <v>46106</v>
      </c>
      <c r="B72" s="7">
        <v>2.21</v>
      </c>
      <c r="C72" s="4" t="s">
        <v>4</v>
      </c>
      <c r="D72" s="4" t="str">
        <f>IF(B72&gt;$G$3,"NC","C")</f>
        <v>NC</v>
      </c>
    </row>
    <row r="73" spans="1:4" x14ac:dyDescent="0.25">
      <c r="A73" s="1">
        <v>46107</v>
      </c>
      <c r="B73" s="7">
        <v>2.46</v>
      </c>
      <c r="C73" s="4" t="s">
        <v>4</v>
      </c>
      <c r="D73" s="4" t="str">
        <f>IF(B73&gt;$G$3,"NC","C")</f>
        <v>NC</v>
      </c>
    </row>
    <row r="74" spans="1:4" x14ac:dyDescent="0.25">
      <c r="A74" s="1">
        <v>46108</v>
      </c>
      <c r="B74" s="7">
        <v>2.21</v>
      </c>
      <c r="C74" s="4" t="s">
        <v>4</v>
      </c>
      <c r="D74" s="4" t="str">
        <f>IF(B74&gt;$G$3,"NC","C")</f>
        <v>NC</v>
      </c>
    </row>
    <row r="75" spans="1:4" x14ac:dyDescent="0.25">
      <c r="A75" s="1">
        <v>46109</v>
      </c>
      <c r="B75" s="7">
        <v>2.4700000000000002</v>
      </c>
      <c r="C75" s="4" t="s">
        <v>4</v>
      </c>
      <c r="D75" s="4" t="str">
        <f>IF(B75&gt;$G$3,"NC","C")</f>
        <v>NC</v>
      </c>
    </row>
    <row r="76" spans="1:4" x14ac:dyDescent="0.25">
      <c r="A76" s="1">
        <v>46110</v>
      </c>
      <c r="B76" s="7">
        <v>2.7</v>
      </c>
      <c r="C76" s="4" t="s">
        <v>4</v>
      </c>
      <c r="D76" s="4" t="str">
        <f>IF(B76&gt;$G$3,"NC","C")</f>
        <v>NC</v>
      </c>
    </row>
    <row r="77" spans="1:4" x14ac:dyDescent="0.25">
      <c r="A77" s="1">
        <v>46111</v>
      </c>
      <c r="B77" s="7">
        <v>2.37</v>
      </c>
      <c r="C77" s="4" t="s">
        <v>4</v>
      </c>
      <c r="D77" s="4" t="str">
        <f>IF(B77&gt;$G$3,"NC","C")</f>
        <v>NC</v>
      </c>
    </row>
    <row r="78" spans="1:4" x14ac:dyDescent="0.25">
      <c r="A78" s="1">
        <v>46112</v>
      </c>
      <c r="B78" s="7">
        <v>1.72</v>
      </c>
      <c r="C78" s="4" t="s">
        <v>4</v>
      </c>
      <c r="D78" s="4" t="str">
        <f>IF(B78&gt;$G$3,"NC","C")</f>
        <v>NC</v>
      </c>
    </row>
    <row r="79" spans="1:4" x14ac:dyDescent="0.25">
      <c r="A79" s="1">
        <v>46113</v>
      </c>
      <c r="B79" s="7">
        <v>2.2999999999999998</v>
      </c>
      <c r="C79" s="4" t="s">
        <v>4</v>
      </c>
      <c r="D79" s="4" t="str">
        <f>IF(B79&gt;$G$3,"NC","C")</f>
        <v>NC</v>
      </c>
    </row>
    <row r="80" spans="1:4" x14ac:dyDescent="0.25">
      <c r="A80" s="1">
        <v>46114</v>
      </c>
      <c r="B80" s="7">
        <v>3.5000000000000003E-2</v>
      </c>
      <c r="C80" s="4" t="s">
        <v>5</v>
      </c>
      <c r="D80" s="4" t="str">
        <f>IF(B80&gt;$G$3,"NC","C")</f>
        <v>C</v>
      </c>
    </row>
    <row r="81" spans="1:4" x14ac:dyDescent="0.25">
      <c r="A81" s="1">
        <v>46115</v>
      </c>
      <c r="B81" s="7">
        <v>2.3E-2</v>
      </c>
      <c r="C81" s="4" t="s">
        <v>6</v>
      </c>
      <c r="D81" s="4" t="str">
        <f>IF(B81&gt;$G$3,"NC","C")</f>
        <v>C</v>
      </c>
    </row>
    <row r="82" spans="1:4" x14ac:dyDescent="0.25">
      <c r="A82" s="1">
        <v>46116</v>
      </c>
      <c r="B82" s="7">
        <v>2.9000000000000001E-2</v>
      </c>
      <c r="C82" s="4" t="s">
        <v>6</v>
      </c>
      <c r="D82" s="4" t="str">
        <f>IF(B82&gt;$G$3,"NC","C")</f>
        <v>C</v>
      </c>
    </row>
    <row r="83" spans="1:4" x14ac:dyDescent="0.25">
      <c r="A83" s="1">
        <v>46117</v>
      </c>
      <c r="B83" s="7">
        <v>3.1E-2</v>
      </c>
      <c r="C83" s="4" t="s">
        <v>6</v>
      </c>
      <c r="D83" s="4" t="str">
        <f>IF(B83&gt;$G$3,"NC","C")</f>
        <v>C</v>
      </c>
    </row>
    <row r="84" spans="1:4" x14ac:dyDescent="0.25">
      <c r="A84" s="1">
        <v>46118</v>
      </c>
      <c r="B84" s="7">
        <v>3.3000000000000002E-2</v>
      </c>
      <c r="C84" s="4" t="s">
        <v>6</v>
      </c>
      <c r="D84" s="4" t="str">
        <f>IF(B84&gt;$G$3,"NC","C")</f>
        <v>C</v>
      </c>
    </row>
    <row r="85" spans="1:4" x14ac:dyDescent="0.25">
      <c r="A85" s="1">
        <v>46119</v>
      </c>
      <c r="B85" s="7">
        <v>2.7E-2</v>
      </c>
      <c r="C85" s="4" t="s">
        <v>6</v>
      </c>
      <c r="D85" s="4" t="str">
        <f>IF(B85&gt;$G$3,"NC","C")</f>
        <v>C</v>
      </c>
    </row>
    <row r="86" spans="1:4" x14ac:dyDescent="0.25">
      <c r="A86" s="1">
        <v>46120</v>
      </c>
      <c r="B86" s="7">
        <v>2.8000000000000001E-2</v>
      </c>
      <c r="C86" s="4" t="s">
        <v>6</v>
      </c>
      <c r="D86" s="4" t="str">
        <f>IF(B86&gt;$G$3,"NC","C")</f>
        <v>C</v>
      </c>
    </row>
    <row r="87" spans="1:4" x14ac:dyDescent="0.25">
      <c r="A87" s="1">
        <v>46121</v>
      </c>
      <c r="B87" s="7">
        <v>3.2000000000000001E-2</v>
      </c>
      <c r="C87" s="4" t="s">
        <v>6</v>
      </c>
      <c r="D87" s="4" t="str">
        <f>IF(B87&gt;$G$3,"NC","C")</f>
        <v>C</v>
      </c>
    </row>
    <row r="88" spans="1:4" x14ac:dyDescent="0.25">
      <c r="A88" s="1">
        <v>46122</v>
      </c>
      <c r="B88" s="7">
        <v>3.1E-2</v>
      </c>
      <c r="C88" s="4" t="s">
        <v>6</v>
      </c>
      <c r="D88" s="4" t="str">
        <f>IF(B88&gt;$G$3,"NC","C")</f>
        <v>C</v>
      </c>
    </row>
    <row r="89" spans="1:4" x14ac:dyDescent="0.25">
      <c r="A89" s="1">
        <v>46123</v>
      </c>
      <c r="B89" s="7">
        <v>3.5000000000000003E-2</v>
      </c>
      <c r="C89" s="4" t="s">
        <v>6</v>
      </c>
      <c r="D89" s="4" t="str">
        <f>IF(B89&gt;$G$3,"NC","C")</f>
        <v>C</v>
      </c>
    </row>
    <row r="90" spans="1:4" x14ac:dyDescent="0.25">
      <c r="A90" s="1">
        <v>46124</v>
      </c>
      <c r="B90" s="7">
        <v>2.9000000000000001E-2</v>
      </c>
      <c r="C90" s="4" t="s">
        <v>6</v>
      </c>
      <c r="D90" s="4" t="str">
        <f>IF(B90&gt;$G$3,"NC","C")</f>
        <v>C</v>
      </c>
    </row>
    <row r="91" spans="1:4" x14ac:dyDescent="0.25">
      <c r="A91" s="1">
        <v>46125</v>
      </c>
      <c r="B91" s="7">
        <v>3.4000000000000002E-2</v>
      </c>
      <c r="C91" s="4" t="s">
        <v>6</v>
      </c>
      <c r="D91" s="4" t="str">
        <f>IF(B91&gt;$G$3,"NC","C")</f>
        <v>C</v>
      </c>
    </row>
    <row r="92" spans="1:4" x14ac:dyDescent="0.25">
      <c r="A92" s="1">
        <v>46126</v>
      </c>
      <c r="B92" s="7">
        <v>0.03</v>
      </c>
      <c r="C92" s="4" t="s">
        <v>6</v>
      </c>
      <c r="D92" s="4" t="str">
        <f>IF(B92&gt;$G$3,"NC","C")</f>
        <v>C</v>
      </c>
    </row>
  </sheetData>
  <mergeCells count="5">
    <mergeCell ref="F25:L29"/>
    <mergeCell ref="F6:G6"/>
    <mergeCell ref="F15:L15"/>
    <mergeCell ref="F14:L14"/>
    <mergeCell ref="F24:L24"/>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55C0C-4E24-4560-B5C3-605B67BE770F}">
  <sheetPr>
    <tabColor rgb="FF4472C4"/>
  </sheetPr>
  <dimension ref="A1:L91"/>
  <sheetViews>
    <sheetView tabSelected="1" workbookViewId="0">
      <pane ySplit="1" topLeftCell="A2" activePane="bottomLeft" state="frozen"/>
      <selection pane="bottomLeft" activeCell="G15" sqref="G15:L19"/>
    </sheetView>
  </sheetViews>
  <sheetFormatPr defaultRowHeight="15" x14ac:dyDescent="0.25"/>
  <cols>
    <col min="1" max="1" width="11.5703125" bestFit="1" customWidth="1"/>
    <col min="2" max="2" width="11" customWidth="1"/>
    <col min="3" max="3" width="27.42578125" customWidth="1"/>
    <col min="4" max="4" width="7" customWidth="1"/>
    <col min="5" max="5" width="21.85546875" customWidth="1"/>
    <col min="6" max="6" width="16" customWidth="1"/>
    <col min="7" max="9" width="13.28515625" customWidth="1"/>
    <col min="10" max="10" width="31" customWidth="1"/>
    <col min="11" max="11" width="29.85546875" customWidth="1"/>
    <col min="12" max="12" width="13.28515625" customWidth="1"/>
  </cols>
  <sheetData>
    <row r="1" spans="1:12" x14ac:dyDescent="0.25">
      <c r="A1" s="5" t="s">
        <v>0</v>
      </c>
      <c r="B1" s="5" t="s">
        <v>1</v>
      </c>
      <c r="C1" s="5" t="s">
        <v>2</v>
      </c>
      <c r="D1" s="5" t="s">
        <v>22</v>
      </c>
      <c r="E1" s="5" t="s">
        <v>23</v>
      </c>
      <c r="G1" s="4"/>
      <c r="H1" s="4"/>
      <c r="I1" s="4"/>
      <c r="J1" s="4"/>
      <c r="K1" s="4"/>
      <c r="L1" s="4"/>
    </row>
    <row r="2" spans="1:12" x14ac:dyDescent="0.25">
      <c r="A2" s="30">
        <f>'91Days pre implementation data'!A35</f>
        <v>46069</v>
      </c>
      <c r="B2" s="29">
        <f>'91Days pre implementation data'!B35</f>
        <v>1.02</v>
      </c>
      <c r="C2" t="str">
        <f>'91Days pre implementation data'!C35</f>
        <v>Historical Baseline Run-Rate</v>
      </c>
      <c r="D2" t="str">
        <f>'91Days pre implementation data'!D35</f>
        <v>NC</v>
      </c>
      <c r="E2" t="str">
        <f>"Pre-Implementation"</f>
        <v>Pre-Implementation</v>
      </c>
      <c r="F2" s="28"/>
      <c r="G2" s="4" t="s">
        <v>8</v>
      </c>
      <c r="H2" s="4">
        <f>PERCENTILE(B2:B92,0.5)</f>
        <v>0.46250000000000002</v>
      </c>
      <c r="I2" s="4"/>
      <c r="K2" s="4"/>
      <c r="L2" s="4"/>
    </row>
    <row r="3" spans="1:12" x14ac:dyDescent="0.25">
      <c r="A3" s="30">
        <f>'91Days pre implementation data'!A36</f>
        <v>46070</v>
      </c>
      <c r="B3" s="29">
        <f>'91Days pre implementation data'!B36</f>
        <v>1.3</v>
      </c>
      <c r="C3" t="str">
        <f>'91Days pre implementation data'!C36</f>
        <v>Historical Baseline Run-Rate</v>
      </c>
      <c r="D3" t="str">
        <f>'91Days pre implementation data'!D36</f>
        <v>NC</v>
      </c>
      <c r="E3" t="str">
        <f>"Pre-Implementation"</f>
        <v>Pre-Implementation</v>
      </c>
      <c r="F3" s="28"/>
      <c r="G3" s="4" t="s">
        <v>9</v>
      </c>
      <c r="H3" s="4">
        <f>PERCENTILE(B2:B92,0.25)</f>
        <v>2.9000000000000001E-2</v>
      </c>
      <c r="I3" s="4" t="s">
        <v>10</v>
      </c>
      <c r="K3" s="4"/>
      <c r="L3" s="4"/>
    </row>
    <row r="4" spans="1:12" x14ac:dyDescent="0.25">
      <c r="A4" s="30">
        <f>'91Days pre implementation data'!A37</f>
        <v>46071</v>
      </c>
      <c r="B4" s="29">
        <f>'91Days pre implementation data'!B37</f>
        <v>1</v>
      </c>
      <c r="C4" t="str">
        <f>'91Days pre implementation data'!C37</f>
        <v>Historical Baseline Run-Rate</v>
      </c>
      <c r="D4" t="str">
        <f>'91Days pre implementation data'!D37</f>
        <v>C</v>
      </c>
      <c r="E4" t="str">
        <f>"Pre-Implementation"</f>
        <v>Pre-Implementation</v>
      </c>
      <c r="F4" s="28"/>
      <c r="G4" s="4"/>
      <c r="H4" s="4"/>
      <c r="I4" s="4"/>
      <c r="J4" s="4"/>
      <c r="K4" s="4"/>
      <c r="L4" s="4"/>
    </row>
    <row r="5" spans="1:12" x14ac:dyDescent="0.25">
      <c r="A5" s="30">
        <f>'91Days pre implementation data'!A38</f>
        <v>46072</v>
      </c>
      <c r="B5" s="29">
        <f>'91Days pre implementation data'!B38</f>
        <v>1.21</v>
      </c>
      <c r="C5" t="str">
        <f>'91Days pre implementation data'!C38</f>
        <v>Historical Baseline Run-Rate</v>
      </c>
      <c r="D5" t="str">
        <f>'91Days pre implementation data'!D38</f>
        <v>NC</v>
      </c>
      <c r="E5" t="str">
        <f>"Pre-Implementation"</f>
        <v>Pre-Implementation</v>
      </c>
      <c r="F5" s="28"/>
      <c r="G5" s="4"/>
      <c r="H5" s="4"/>
      <c r="I5" s="4"/>
      <c r="J5" s="4"/>
      <c r="K5" s="4"/>
      <c r="L5" s="4"/>
    </row>
    <row r="6" spans="1:12" x14ac:dyDescent="0.25">
      <c r="A6" s="30">
        <f>'91Days pre implementation data'!A39</f>
        <v>46073</v>
      </c>
      <c r="B6" s="29">
        <f>'91Days pre implementation data'!B39</f>
        <v>0.89</v>
      </c>
      <c r="C6" t="str">
        <f>'91Days pre implementation data'!C39</f>
        <v>Historical Baseline Run-Rate</v>
      </c>
      <c r="D6" t="str">
        <f>'91Days pre implementation data'!D39</f>
        <v>C</v>
      </c>
      <c r="E6" t="str">
        <f>"Pre-Implementation"</f>
        <v>Pre-Implementation</v>
      </c>
      <c r="F6" s="28"/>
      <c r="G6" s="20" t="s">
        <v>19</v>
      </c>
      <c r="H6" s="20"/>
      <c r="I6" s="4"/>
      <c r="J6" s="9" t="s">
        <v>38</v>
      </c>
      <c r="K6" s="9" t="s">
        <v>27</v>
      </c>
      <c r="L6" s="4"/>
    </row>
    <row r="7" spans="1:12" x14ac:dyDescent="0.25">
      <c r="A7" s="30">
        <f>'91Days pre implementation data'!A40</f>
        <v>46074</v>
      </c>
      <c r="B7" s="29">
        <f>'91Days pre implementation data'!B40</f>
        <v>0.98</v>
      </c>
      <c r="C7" t="str">
        <f>'91Days pre implementation data'!C40</f>
        <v>Historical Baseline Run-Rate</v>
      </c>
      <c r="D7" t="str">
        <f>'91Days pre implementation data'!D40</f>
        <v>C</v>
      </c>
      <c r="E7" t="str">
        <f>"Pre-Implementation"</f>
        <v>Pre-Implementation</v>
      </c>
      <c r="F7" s="28"/>
      <c r="G7" s="4" t="s">
        <v>14</v>
      </c>
      <c r="H7" s="4">
        <f>COUNTIF(D2:D92,"NC")</f>
        <v>47</v>
      </c>
      <c r="I7" s="4"/>
      <c r="J7" s="4"/>
      <c r="K7" s="4"/>
      <c r="L7" s="4"/>
    </row>
    <row r="8" spans="1:12" x14ac:dyDescent="0.25">
      <c r="A8" s="30">
        <f>'91Days pre implementation data'!A41</f>
        <v>46075</v>
      </c>
      <c r="B8" s="29">
        <f>'91Days pre implementation data'!B41</f>
        <v>1.21</v>
      </c>
      <c r="C8" t="str">
        <f>'91Days pre implementation data'!C41</f>
        <v>Historical Baseline Run-Rate</v>
      </c>
      <c r="D8" t="str">
        <f>'91Days pre implementation data'!D41</f>
        <v>NC</v>
      </c>
      <c r="E8" t="str">
        <f>"Pre-Implementation"</f>
        <v>Pre-Implementation</v>
      </c>
      <c r="F8" s="28"/>
      <c r="G8" s="4" t="s">
        <v>15</v>
      </c>
      <c r="H8" s="4">
        <f>COUNT(A2:A92)</f>
        <v>90</v>
      </c>
      <c r="I8" s="4"/>
      <c r="J8" s="4"/>
      <c r="K8" s="4"/>
      <c r="L8" s="4"/>
    </row>
    <row r="9" spans="1:12" x14ac:dyDescent="0.25">
      <c r="A9" s="30">
        <f>'91Days pre implementation data'!A42</f>
        <v>46076</v>
      </c>
      <c r="B9" s="29">
        <f>'91Days pre implementation data'!B42</f>
        <v>1.29</v>
      </c>
      <c r="C9" t="str">
        <f>'91Days pre implementation data'!C42</f>
        <v>Historical Baseline Run-Rate</v>
      </c>
      <c r="D9" t="str">
        <f>'91Days pre implementation data'!D42</f>
        <v>NC</v>
      </c>
      <c r="E9" t="str">
        <f>"Pre-Implementation"</f>
        <v>Pre-Implementation</v>
      </c>
      <c r="F9" s="28"/>
      <c r="G9" s="4" t="s">
        <v>16</v>
      </c>
      <c r="H9" s="8">
        <f>H7/H8</f>
        <v>0.52222222222222225</v>
      </c>
      <c r="I9" s="4"/>
      <c r="J9" s="2" t="s">
        <v>28</v>
      </c>
      <c r="K9" s="4" t="s">
        <v>29</v>
      </c>
      <c r="L9" s="4"/>
    </row>
    <row r="10" spans="1:12" x14ac:dyDescent="0.25">
      <c r="A10" s="30">
        <f>'91Days pre implementation data'!A43</f>
        <v>46077</v>
      </c>
      <c r="B10" s="29">
        <f>'91Days pre implementation data'!B43</f>
        <v>1.21</v>
      </c>
      <c r="C10" t="str">
        <f>'91Days pre implementation data'!C43</f>
        <v>Historical Baseline Run-Rate</v>
      </c>
      <c r="D10" t="str">
        <f>'91Days pre implementation data'!D43</f>
        <v>NC</v>
      </c>
      <c r="E10" t="str">
        <f>"Pre-Implementation"</f>
        <v>Pre-Implementation</v>
      </c>
      <c r="F10" s="28"/>
      <c r="G10" s="4" t="s">
        <v>17</v>
      </c>
      <c r="H10" s="10">
        <f>H9*1000000</f>
        <v>522222.22222222225</v>
      </c>
      <c r="I10" s="4"/>
      <c r="J10" s="2" t="s">
        <v>24</v>
      </c>
      <c r="K10" s="4" t="s">
        <v>30</v>
      </c>
      <c r="L10" s="4"/>
    </row>
    <row r="11" spans="1:12" x14ac:dyDescent="0.25">
      <c r="A11" s="30">
        <f>'91Days pre implementation data'!A44</f>
        <v>46078</v>
      </c>
      <c r="B11" s="29">
        <f>'91Days pre implementation data'!B44</f>
        <v>1.1599999999999999</v>
      </c>
      <c r="C11" t="str">
        <f>'91Days pre implementation data'!C44</f>
        <v>Historical Baseline Run-Rate</v>
      </c>
      <c r="D11" t="str">
        <f>'91Days pre implementation data'!D44</f>
        <v>NC</v>
      </c>
      <c r="E11" t="str">
        <f>"Pre-Implementation"</f>
        <v>Pre-Implementation</v>
      </c>
      <c r="F11" s="28"/>
      <c r="G11" s="4" t="s">
        <v>18</v>
      </c>
      <c r="H11" s="8">
        <f>NORMSINV(1-H9)</f>
        <v>-5.5731687742979895E-2</v>
      </c>
      <c r="I11" s="4"/>
      <c r="J11" s="2" t="s">
        <v>26</v>
      </c>
      <c r="K11" s="4" t="s">
        <v>31</v>
      </c>
      <c r="L11" s="4"/>
    </row>
    <row r="12" spans="1:12" x14ac:dyDescent="0.25">
      <c r="A12" s="30">
        <f>'91Days pre implementation data'!A45</f>
        <v>46079</v>
      </c>
      <c r="B12" s="29">
        <f>'91Days pre implementation data'!B45</f>
        <v>1.1299999999999999</v>
      </c>
      <c r="C12" t="str">
        <f>'91Days pre implementation data'!C45</f>
        <v>Historical Baseline Run-Rate</v>
      </c>
      <c r="D12" t="str">
        <f>'91Days pre implementation data'!D45</f>
        <v>NC</v>
      </c>
      <c r="E12" t="str">
        <f>"Pre-Implementation"</f>
        <v>Pre-Implementation</v>
      </c>
      <c r="F12" s="28"/>
      <c r="G12" s="4"/>
      <c r="H12" s="4"/>
      <c r="I12" s="4"/>
      <c r="J12" s="4"/>
      <c r="K12" s="4"/>
      <c r="L12" s="4"/>
    </row>
    <row r="13" spans="1:12" ht="15.75" thickBot="1" x14ac:dyDescent="0.3">
      <c r="A13" s="30">
        <f>'91Days pre implementation data'!A46</f>
        <v>46080</v>
      </c>
      <c r="B13" s="29">
        <f>'91Days pre implementation data'!B46</f>
        <v>0.96</v>
      </c>
      <c r="C13" t="str">
        <f>'91Days pre implementation data'!C46</f>
        <v>Historical Baseline Run-Rate</v>
      </c>
      <c r="D13" t="str">
        <f>'91Days pre implementation data'!D46</f>
        <v>C</v>
      </c>
      <c r="E13" t="str">
        <f>"Pre-Implementation"</f>
        <v>Pre-Implementation</v>
      </c>
      <c r="F13" s="28"/>
      <c r="G13" s="4"/>
      <c r="H13" s="4"/>
      <c r="I13" s="4"/>
      <c r="J13" s="4"/>
      <c r="K13" s="4"/>
      <c r="L13" s="4"/>
    </row>
    <row r="14" spans="1:12" ht="19.5" thickBot="1" x14ac:dyDescent="0.3">
      <c r="A14" s="30">
        <f>'91Days pre implementation data'!A47</f>
        <v>46081</v>
      </c>
      <c r="B14" s="29">
        <f>'91Days pre implementation data'!B47</f>
        <v>1.07</v>
      </c>
      <c r="C14" t="str">
        <f>'91Days pre implementation data'!C47</f>
        <v>Historical Baseline Run-Rate</v>
      </c>
      <c r="D14" t="str">
        <f>'91Days pre implementation data'!D47</f>
        <v>NC</v>
      </c>
      <c r="E14" t="str">
        <f>"Pre-Implementation"</f>
        <v>Pre-Implementation</v>
      </c>
      <c r="F14" s="28"/>
      <c r="G14" s="24" t="s">
        <v>12</v>
      </c>
      <c r="H14" s="25"/>
      <c r="I14" s="25"/>
      <c r="J14" s="25"/>
      <c r="K14" s="25"/>
      <c r="L14" s="26"/>
    </row>
    <row r="15" spans="1:12" ht="15" customHeight="1" x14ac:dyDescent="0.25">
      <c r="A15" s="30">
        <f>'91Days pre implementation data'!A48</f>
        <v>46082</v>
      </c>
      <c r="B15" s="29">
        <f>'91Days pre implementation data'!B48</f>
        <v>1.1100000000000001</v>
      </c>
      <c r="C15" t="str">
        <f>'91Days pre implementation data'!C48</f>
        <v>Historical Baseline Run-Rate</v>
      </c>
      <c r="D15" t="str">
        <f>'91Days pre implementation data'!D48</f>
        <v>NC</v>
      </c>
      <c r="E15" t="str">
        <f>"Pre-Implementation"</f>
        <v>Pre-Implementation</v>
      </c>
      <c r="F15" s="28"/>
      <c r="G15" s="11" t="s">
        <v>36</v>
      </c>
      <c r="H15" s="12"/>
      <c r="I15" s="12"/>
      <c r="J15" s="12"/>
      <c r="K15" s="12"/>
      <c r="L15" s="13"/>
    </row>
    <row r="16" spans="1:12" x14ac:dyDescent="0.25">
      <c r="A16" s="30">
        <f>'91Days pre implementation data'!A49</f>
        <v>46083</v>
      </c>
      <c r="B16" s="29">
        <f>'91Days pre implementation data'!B49</f>
        <v>1.34</v>
      </c>
      <c r="C16" t="str">
        <f>'91Days pre implementation data'!C49</f>
        <v>Historical Baseline Run-Rate</v>
      </c>
      <c r="D16" t="str">
        <f>'91Days pre implementation data'!D49</f>
        <v>NC</v>
      </c>
      <c r="E16" t="str">
        <f>"Pre-Implementation"</f>
        <v>Pre-Implementation</v>
      </c>
      <c r="F16" s="28"/>
      <c r="G16" s="14"/>
      <c r="H16" s="15"/>
      <c r="I16" s="15"/>
      <c r="J16" s="15"/>
      <c r="K16" s="15"/>
      <c r="L16" s="16"/>
    </row>
    <row r="17" spans="1:12" x14ac:dyDescent="0.25">
      <c r="A17" s="30">
        <f>'91Days pre implementation data'!A50</f>
        <v>46084</v>
      </c>
      <c r="B17" s="29">
        <f>'91Days pre implementation data'!B50</f>
        <v>1.23</v>
      </c>
      <c r="C17" t="str">
        <f>'91Days pre implementation data'!C50</f>
        <v>Historical Baseline Run-Rate</v>
      </c>
      <c r="D17" t="str">
        <f>'91Days pre implementation data'!D50</f>
        <v>NC</v>
      </c>
      <c r="E17" t="str">
        <f>"Pre-Implementation"</f>
        <v>Pre-Implementation</v>
      </c>
      <c r="F17" s="28"/>
      <c r="G17" s="14"/>
      <c r="H17" s="15"/>
      <c r="I17" s="15"/>
      <c r="J17" s="15"/>
      <c r="K17" s="15"/>
      <c r="L17" s="16"/>
    </row>
    <row r="18" spans="1:12" x14ac:dyDescent="0.25">
      <c r="A18" s="30">
        <f>'91Days pre implementation data'!A51</f>
        <v>46085</v>
      </c>
      <c r="B18" s="29">
        <f>'91Days pre implementation data'!B51</f>
        <v>0.92</v>
      </c>
      <c r="C18" t="str">
        <f>'91Days pre implementation data'!C51</f>
        <v>Historical Baseline Run-Rate</v>
      </c>
      <c r="D18" t="str">
        <f>'91Days pre implementation data'!D51</f>
        <v>C</v>
      </c>
      <c r="E18" t="str">
        <f>"Pre-Implementation"</f>
        <v>Pre-Implementation</v>
      </c>
      <c r="F18" s="28"/>
      <c r="G18" s="14"/>
      <c r="H18" s="15"/>
      <c r="I18" s="15"/>
      <c r="J18" s="15"/>
      <c r="K18" s="15"/>
      <c r="L18" s="16"/>
    </row>
    <row r="19" spans="1:12" ht="15.75" thickBot="1" x14ac:dyDescent="0.3">
      <c r="A19" s="30">
        <f>'91Days pre implementation data'!A52</f>
        <v>46086</v>
      </c>
      <c r="B19" s="29">
        <f>'91Days pre implementation data'!B52</f>
        <v>1.23</v>
      </c>
      <c r="C19" t="str">
        <f>'91Days pre implementation data'!C52</f>
        <v>Historical Baseline Run-Rate</v>
      </c>
      <c r="D19" t="str">
        <f>'91Days pre implementation data'!D52</f>
        <v>NC</v>
      </c>
      <c r="E19" t="str">
        <f>"Pre-Implementation"</f>
        <v>Pre-Implementation</v>
      </c>
      <c r="F19" s="28"/>
      <c r="G19" s="17"/>
      <c r="H19" s="18"/>
      <c r="I19" s="18"/>
      <c r="J19" s="18"/>
      <c r="K19" s="18"/>
      <c r="L19" s="19"/>
    </row>
    <row r="20" spans="1:12" x14ac:dyDescent="0.25">
      <c r="A20" s="30">
        <f>'91Days pre implementation data'!A53</f>
        <v>46087</v>
      </c>
      <c r="B20" s="29">
        <f>'91Days pre implementation data'!B53</f>
        <v>1.1200000000000001</v>
      </c>
      <c r="C20" t="str">
        <f>'91Days pre implementation data'!C53</f>
        <v>Historical Baseline Run-Rate</v>
      </c>
      <c r="D20" t="str">
        <f>'91Days pre implementation data'!D53</f>
        <v>NC</v>
      </c>
      <c r="E20" t="str">
        <f>"Pre-Implementation"</f>
        <v>Pre-Implementation</v>
      </c>
      <c r="F20" s="28"/>
    </row>
    <row r="21" spans="1:12" x14ac:dyDescent="0.25">
      <c r="A21" s="30">
        <f>'91Days pre implementation data'!A54</f>
        <v>46088</v>
      </c>
      <c r="B21" s="29">
        <f>'91Days pre implementation data'!B54</f>
        <v>1.08</v>
      </c>
      <c r="C21" t="str">
        <f>'91Days pre implementation data'!C54</f>
        <v>Historical Baseline Run-Rate</v>
      </c>
      <c r="D21" t="str">
        <f>'91Days pre implementation data'!D54</f>
        <v>NC</v>
      </c>
      <c r="E21" t="str">
        <f>"Pre-Implementation"</f>
        <v>Pre-Implementation</v>
      </c>
      <c r="F21" s="28"/>
    </row>
    <row r="22" spans="1:12" x14ac:dyDescent="0.25">
      <c r="A22" s="30">
        <f>'91Days pre implementation data'!A55</f>
        <v>46089</v>
      </c>
      <c r="B22" s="29">
        <f>'91Days pre implementation data'!B55</f>
        <v>1.27</v>
      </c>
      <c r="C22" t="str">
        <f>'91Days pre implementation data'!C55</f>
        <v>Historical Baseline Run-Rate</v>
      </c>
      <c r="D22" t="str">
        <f>'91Days pre implementation data'!D55</f>
        <v>NC</v>
      </c>
      <c r="E22" t="str">
        <f>"Pre-Implementation"</f>
        <v>Pre-Implementation</v>
      </c>
      <c r="F22" s="28"/>
    </row>
    <row r="23" spans="1:12" ht="15" customHeight="1" thickBot="1" x14ac:dyDescent="0.3">
      <c r="A23" s="30">
        <f>'91Days pre implementation data'!A56</f>
        <v>46090</v>
      </c>
      <c r="B23" s="29">
        <f>'91Days pre implementation data'!B56</f>
        <v>1.33</v>
      </c>
      <c r="C23" t="str">
        <f>'91Days pre implementation data'!C56</f>
        <v>Historical Baseline Run-Rate</v>
      </c>
      <c r="D23" t="str">
        <f>'91Days pre implementation data'!D56</f>
        <v>NC</v>
      </c>
      <c r="E23" t="str">
        <f>"Pre-Implementation"</f>
        <v>Pre-Implementation</v>
      </c>
      <c r="F23" s="28"/>
    </row>
    <row r="24" spans="1:12" ht="19.5" thickBot="1" x14ac:dyDescent="0.3">
      <c r="A24" s="30">
        <f>'91Days pre implementation data'!A57</f>
        <v>46091</v>
      </c>
      <c r="B24" s="29">
        <f>'91Days pre implementation data'!B57</f>
        <v>1.32</v>
      </c>
      <c r="C24" t="str">
        <f>'91Days pre implementation data'!C57</f>
        <v>Historical Baseline Run-Rate</v>
      </c>
      <c r="D24" t="str">
        <f>'91Days pre implementation data'!D57</f>
        <v>NC</v>
      </c>
      <c r="E24" t="str">
        <f>"Pre-Implementation"</f>
        <v>Pre-Implementation</v>
      </c>
      <c r="F24" s="28"/>
      <c r="G24" s="24" t="s">
        <v>35</v>
      </c>
      <c r="H24" s="25"/>
      <c r="I24" s="25"/>
      <c r="J24" s="25"/>
      <c r="K24" s="25"/>
      <c r="L24" s="26"/>
    </row>
    <row r="25" spans="1:12" ht="15" customHeight="1" x14ac:dyDescent="0.25">
      <c r="A25" s="30">
        <f>'91Days pre implementation data'!A58</f>
        <v>46092</v>
      </c>
      <c r="B25" s="29">
        <f>'91Days pre implementation data'!B58</f>
        <v>1.05</v>
      </c>
      <c r="C25" t="str">
        <f>'91Days pre implementation data'!C58</f>
        <v>Historical Baseline Run-Rate</v>
      </c>
      <c r="D25" t="str">
        <f>'91Days pre implementation data'!D58</f>
        <v>NC</v>
      </c>
      <c r="E25" t="str">
        <f>"Pre-Implementation"</f>
        <v>Pre-Implementation</v>
      </c>
      <c r="F25" s="28"/>
      <c r="G25" s="11" t="s">
        <v>37</v>
      </c>
      <c r="H25" s="12"/>
      <c r="I25" s="12"/>
      <c r="J25" s="12"/>
      <c r="K25" s="12"/>
      <c r="L25" s="13"/>
    </row>
    <row r="26" spans="1:12" x14ac:dyDescent="0.25">
      <c r="A26" s="30">
        <f>'91Days pre implementation data'!A59</f>
        <v>46093</v>
      </c>
      <c r="B26" s="29">
        <f>'91Days pre implementation data'!B59</f>
        <v>1.1299999999999999</v>
      </c>
      <c r="C26" t="str">
        <f>'91Days pre implementation data'!C59</f>
        <v>Historical Baseline Run-Rate</v>
      </c>
      <c r="D26" t="str">
        <f>'91Days pre implementation data'!D59</f>
        <v>NC</v>
      </c>
      <c r="E26" t="str">
        <f>"Pre-Implementation"</f>
        <v>Pre-Implementation</v>
      </c>
      <c r="F26" s="28"/>
      <c r="G26" s="14"/>
      <c r="H26" s="15"/>
      <c r="I26" s="15"/>
      <c r="J26" s="15"/>
      <c r="K26" s="15"/>
      <c r="L26" s="16"/>
    </row>
    <row r="27" spans="1:12" x14ac:dyDescent="0.25">
      <c r="A27" s="30">
        <f>'91Days pre implementation data'!A60</f>
        <v>46094</v>
      </c>
      <c r="B27" s="29">
        <f>'91Days pre implementation data'!B60</f>
        <v>1.23</v>
      </c>
      <c r="C27" t="str">
        <f>'91Days pre implementation data'!C60</f>
        <v>Historical Baseline Run-Rate</v>
      </c>
      <c r="D27" t="str">
        <f>'91Days pre implementation data'!D60</f>
        <v>NC</v>
      </c>
      <c r="E27" t="str">
        <f>"Pre-Implementation"</f>
        <v>Pre-Implementation</v>
      </c>
      <c r="F27" s="28"/>
      <c r="G27" s="14"/>
      <c r="H27" s="15"/>
      <c r="I27" s="15"/>
      <c r="J27" s="15"/>
      <c r="K27" s="15"/>
      <c r="L27" s="16"/>
    </row>
    <row r="28" spans="1:12" x14ac:dyDescent="0.25">
      <c r="A28" s="30">
        <f>'91Days pre implementation data'!A61</f>
        <v>46095</v>
      </c>
      <c r="B28" s="29">
        <f>'91Days pre implementation data'!B61</f>
        <v>1.33</v>
      </c>
      <c r="C28" t="str">
        <f>'91Days pre implementation data'!C61</f>
        <v>Historical Baseline Run-Rate</v>
      </c>
      <c r="D28" t="str">
        <f>'91Days pre implementation data'!D61</f>
        <v>NC</v>
      </c>
      <c r="E28" t="str">
        <f>"Pre-Implementation"</f>
        <v>Pre-Implementation</v>
      </c>
      <c r="F28" s="28"/>
      <c r="G28" s="14"/>
      <c r="H28" s="15"/>
      <c r="I28" s="15"/>
      <c r="J28" s="15"/>
      <c r="K28" s="15"/>
      <c r="L28" s="16"/>
    </row>
    <row r="29" spans="1:12" x14ac:dyDescent="0.25">
      <c r="A29" s="30">
        <f>'91Days pre implementation data'!A62</f>
        <v>46096</v>
      </c>
      <c r="B29" s="29">
        <f>'91Days pre implementation data'!B62</f>
        <v>1.1100000000000001</v>
      </c>
      <c r="C29" t="str">
        <f>'91Days pre implementation data'!C62</f>
        <v>Historical Baseline Run-Rate</v>
      </c>
      <c r="D29" t="str">
        <f>'91Days pre implementation data'!D62</f>
        <v>NC</v>
      </c>
      <c r="E29" t="str">
        <f>"Pre-Implementation"</f>
        <v>Pre-Implementation</v>
      </c>
      <c r="F29" s="28"/>
      <c r="G29" s="14"/>
      <c r="H29" s="15"/>
      <c r="I29" s="15"/>
      <c r="J29" s="15"/>
      <c r="K29" s="15"/>
      <c r="L29" s="16"/>
    </row>
    <row r="30" spans="1:12" x14ac:dyDescent="0.25">
      <c r="A30" s="30">
        <f>'91Days pre implementation data'!A63</f>
        <v>46097</v>
      </c>
      <c r="B30" s="29">
        <f>'91Days pre implementation data'!B63</f>
        <v>1.1499999999999999</v>
      </c>
      <c r="C30" t="str">
        <f>'91Days pre implementation data'!C63</f>
        <v>Historical Baseline Run-Rate</v>
      </c>
      <c r="D30" t="str">
        <f>'91Days pre implementation data'!D63</f>
        <v>NC</v>
      </c>
      <c r="E30" t="str">
        <f>"Pre-Implementation"</f>
        <v>Pre-Implementation</v>
      </c>
      <c r="F30" s="28"/>
      <c r="G30" s="14"/>
      <c r="H30" s="15"/>
      <c r="I30" s="15"/>
      <c r="J30" s="15"/>
      <c r="K30" s="15"/>
      <c r="L30" s="16"/>
    </row>
    <row r="31" spans="1:12" x14ac:dyDescent="0.25">
      <c r="A31" s="30">
        <f>'91Days pre implementation data'!A64</f>
        <v>46098</v>
      </c>
      <c r="B31" s="29">
        <f>'91Days pre implementation data'!B64</f>
        <v>1.01</v>
      </c>
      <c r="C31" t="str">
        <f>'91Days pre implementation data'!C64</f>
        <v>Historical Baseline Run-Rate</v>
      </c>
      <c r="D31" t="str">
        <f>'91Days pre implementation data'!D64</f>
        <v>NC</v>
      </c>
      <c r="E31" t="str">
        <f>"Pre-Implementation"</f>
        <v>Pre-Implementation</v>
      </c>
      <c r="F31" s="28"/>
      <c r="G31" s="14"/>
      <c r="H31" s="15"/>
      <c r="I31" s="15"/>
      <c r="J31" s="15"/>
      <c r="K31" s="15"/>
      <c r="L31" s="16"/>
    </row>
    <row r="32" spans="1:12" ht="15.75" thickBot="1" x14ac:dyDescent="0.3">
      <c r="A32" s="30">
        <f>'91Days pre implementation data'!A65</f>
        <v>46099</v>
      </c>
      <c r="B32" s="29">
        <f>'91Days pre implementation data'!B65</f>
        <v>1</v>
      </c>
      <c r="C32" t="str">
        <f>'91Days pre implementation data'!C65</f>
        <v>Historical Baseline Run-Rate</v>
      </c>
      <c r="D32" t="str">
        <f>'91Days pre implementation data'!D65</f>
        <v>C</v>
      </c>
      <c r="E32" t="str">
        <f>"Pre-Implementation"</f>
        <v>Pre-Implementation</v>
      </c>
      <c r="F32" s="28"/>
      <c r="G32" s="17"/>
      <c r="H32" s="18"/>
      <c r="I32" s="18"/>
      <c r="J32" s="18"/>
      <c r="K32" s="18"/>
      <c r="L32" s="19"/>
    </row>
    <row r="33" spans="1:6" x14ac:dyDescent="0.25">
      <c r="A33" s="30">
        <f>'91Days pre implementation data'!A66</f>
        <v>46100</v>
      </c>
      <c r="B33" s="29">
        <f>'91Days pre implementation data'!B66</f>
        <v>1.3</v>
      </c>
      <c r="C33" t="str">
        <f>'91Days pre implementation data'!C66</f>
        <v>Historical Baseline Run-Rate</v>
      </c>
      <c r="D33" t="str">
        <f>'91Days pre implementation data'!D66</f>
        <v>NC</v>
      </c>
      <c r="E33" t="str">
        <f>"Pre-Implementation"</f>
        <v>Pre-Implementation</v>
      </c>
      <c r="F33" s="28"/>
    </row>
    <row r="34" spans="1:6" x14ac:dyDescent="0.25">
      <c r="A34" s="30">
        <f>'91Days pre implementation data'!A67</f>
        <v>46101</v>
      </c>
      <c r="B34" s="29">
        <f>'91Days pre implementation data'!B67</f>
        <v>1.38</v>
      </c>
      <c r="C34" t="str">
        <f>'91Days pre implementation data'!C67</f>
        <v>Historical Baseline Run-Rate</v>
      </c>
      <c r="D34" t="str">
        <f>'91Days pre implementation data'!D67</f>
        <v>NC</v>
      </c>
      <c r="E34" t="str">
        <f>"Pre-Implementation"</f>
        <v>Pre-Implementation</v>
      </c>
      <c r="F34" s="28"/>
    </row>
    <row r="35" spans="1:6" x14ac:dyDescent="0.25">
      <c r="A35" s="30">
        <f>'91Days pre implementation data'!A68</f>
        <v>46102</v>
      </c>
      <c r="B35" s="29">
        <f>'91Days pre implementation data'!B68</f>
        <v>1.17</v>
      </c>
      <c r="C35" t="str">
        <f>'91Days pre implementation data'!C68</f>
        <v>Historical Baseline Run-Rate</v>
      </c>
      <c r="D35" t="str">
        <f>'91Days pre implementation data'!D68</f>
        <v>NC</v>
      </c>
      <c r="E35" t="str">
        <f>"Pre-Implementation"</f>
        <v>Pre-Implementation</v>
      </c>
      <c r="F35" s="28"/>
    </row>
    <row r="36" spans="1:6" x14ac:dyDescent="0.25">
      <c r="A36" s="30">
        <f>'91Days pre implementation data'!A69</f>
        <v>46103</v>
      </c>
      <c r="B36" s="29">
        <f>'91Days pre implementation data'!B69</f>
        <v>1.33</v>
      </c>
      <c r="C36" t="str">
        <f>'91Days pre implementation data'!C69</f>
        <v>Historical Baseline Run-Rate</v>
      </c>
      <c r="D36" t="str">
        <f>'91Days pre implementation data'!D69</f>
        <v>NC</v>
      </c>
      <c r="E36" t="str">
        <f>"Pre-Implementation"</f>
        <v>Pre-Implementation</v>
      </c>
      <c r="F36" s="28"/>
    </row>
    <row r="37" spans="1:6" x14ac:dyDescent="0.25">
      <c r="A37" s="30">
        <f>'91Days pre implementation data'!A70</f>
        <v>46104</v>
      </c>
      <c r="B37" s="29">
        <f>'91Days pre implementation data'!B70</f>
        <v>2.37</v>
      </c>
      <c r="C37" t="str">
        <f>'91Days pre implementation data'!C70</f>
        <v>Pre-Implementation Crisis Spike</v>
      </c>
      <c r="D37" t="str">
        <f>'91Days pre implementation data'!D70</f>
        <v>NC</v>
      </c>
      <c r="E37" t="str">
        <f>"Pre-Implementation"</f>
        <v>Pre-Implementation</v>
      </c>
      <c r="F37" s="28"/>
    </row>
    <row r="38" spans="1:6" x14ac:dyDescent="0.25">
      <c r="A38" s="30">
        <f>'91Days pre implementation data'!A71</f>
        <v>46105</v>
      </c>
      <c r="B38" s="29">
        <f>'91Days pre implementation data'!B71</f>
        <v>2.46</v>
      </c>
      <c r="C38" t="str">
        <f>'91Days pre implementation data'!C71</f>
        <v>Pre-Implementation Crisis Spike</v>
      </c>
      <c r="D38" t="str">
        <f>'91Days pre implementation data'!D71</f>
        <v>NC</v>
      </c>
      <c r="E38" t="str">
        <f>"Pre-Implementation"</f>
        <v>Pre-Implementation</v>
      </c>
      <c r="F38" s="28"/>
    </row>
    <row r="39" spans="1:6" x14ac:dyDescent="0.25">
      <c r="A39" s="30">
        <f>'91Days pre implementation data'!A72</f>
        <v>46106</v>
      </c>
      <c r="B39" s="29">
        <f>'91Days pre implementation data'!B72</f>
        <v>2.21</v>
      </c>
      <c r="C39" t="str">
        <f>'91Days pre implementation data'!C72</f>
        <v>Pre-Implementation Crisis Spike</v>
      </c>
      <c r="D39" t="str">
        <f>'91Days pre implementation data'!D72</f>
        <v>NC</v>
      </c>
      <c r="E39" t="str">
        <f>"Pre-Implementation"</f>
        <v>Pre-Implementation</v>
      </c>
      <c r="F39" s="28"/>
    </row>
    <row r="40" spans="1:6" x14ac:dyDescent="0.25">
      <c r="A40" s="30">
        <f>'91Days pre implementation data'!A73</f>
        <v>46107</v>
      </c>
      <c r="B40" s="29">
        <f>'91Days pre implementation data'!B73</f>
        <v>2.46</v>
      </c>
      <c r="C40" t="str">
        <f>'91Days pre implementation data'!C73</f>
        <v>Pre-Implementation Crisis Spike</v>
      </c>
      <c r="D40" t="str">
        <f>'91Days pre implementation data'!D73</f>
        <v>NC</v>
      </c>
      <c r="E40" t="str">
        <f>"Pre-Implementation"</f>
        <v>Pre-Implementation</v>
      </c>
      <c r="F40" s="28"/>
    </row>
    <row r="41" spans="1:6" x14ac:dyDescent="0.25">
      <c r="A41" s="30">
        <f>'91Days pre implementation data'!A74</f>
        <v>46108</v>
      </c>
      <c r="B41" s="29">
        <f>'91Days pre implementation data'!B74</f>
        <v>2.21</v>
      </c>
      <c r="C41" t="str">
        <f>'91Days pre implementation data'!C74</f>
        <v>Pre-Implementation Crisis Spike</v>
      </c>
      <c r="D41" t="str">
        <f>'91Days pre implementation data'!D74</f>
        <v>NC</v>
      </c>
      <c r="E41" t="str">
        <f>"Pre-Implementation"</f>
        <v>Pre-Implementation</v>
      </c>
      <c r="F41" s="28"/>
    </row>
    <row r="42" spans="1:6" x14ac:dyDescent="0.25">
      <c r="A42" s="30">
        <f>'91Days pre implementation data'!A75</f>
        <v>46109</v>
      </c>
      <c r="B42" s="29">
        <f>'91Days pre implementation data'!B75</f>
        <v>2.4700000000000002</v>
      </c>
      <c r="C42" t="str">
        <f>'91Days pre implementation data'!C75</f>
        <v>Pre-Implementation Crisis Spike</v>
      </c>
      <c r="D42" t="str">
        <f>'91Days pre implementation data'!D75</f>
        <v>NC</v>
      </c>
      <c r="E42" t="str">
        <f>"Pre-Implementation"</f>
        <v>Pre-Implementation</v>
      </c>
      <c r="F42" s="28"/>
    </row>
    <row r="43" spans="1:6" x14ac:dyDescent="0.25">
      <c r="A43" s="30">
        <f>'91Days pre implementation data'!A76</f>
        <v>46110</v>
      </c>
      <c r="B43" s="29">
        <f>'91Days pre implementation data'!B76</f>
        <v>2.7</v>
      </c>
      <c r="C43" t="str">
        <f>'91Days pre implementation data'!C76</f>
        <v>Pre-Implementation Crisis Spike</v>
      </c>
      <c r="D43" t="str">
        <f>'91Days pre implementation data'!D76</f>
        <v>NC</v>
      </c>
      <c r="E43" t="str">
        <f>"Pre-Implementation"</f>
        <v>Pre-Implementation</v>
      </c>
      <c r="F43" s="28"/>
    </row>
    <row r="44" spans="1:6" x14ac:dyDescent="0.25">
      <c r="A44" s="30">
        <f>'91Days pre implementation data'!A77</f>
        <v>46111</v>
      </c>
      <c r="B44" s="29">
        <f>'91Days pre implementation data'!B77</f>
        <v>2.37</v>
      </c>
      <c r="C44" t="str">
        <f>'91Days pre implementation data'!C77</f>
        <v>Pre-Implementation Crisis Spike</v>
      </c>
      <c r="D44" t="str">
        <f>'91Days pre implementation data'!D77</f>
        <v>NC</v>
      </c>
      <c r="E44" t="str">
        <f>"Pre-Implementation"</f>
        <v>Pre-Implementation</v>
      </c>
      <c r="F44" s="28"/>
    </row>
    <row r="45" spans="1:6" x14ac:dyDescent="0.25">
      <c r="A45" s="30">
        <f>'91Days pre implementation data'!A78</f>
        <v>46112</v>
      </c>
      <c r="B45" s="29">
        <f>'91Days pre implementation data'!B78</f>
        <v>1.72</v>
      </c>
      <c r="C45" t="str">
        <f>'91Days pre implementation data'!C78</f>
        <v>Pre-Implementation Crisis Spike</v>
      </c>
      <c r="D45" t="str">
        <f>'91Days pre implementation data'!D78</f>
        <v>NC</v>
      </c>
      <c r="E45" t="str">
        <f>"Pre-Implementation"</f>
        <v>Pre-Implementation</v>
      </c>
      <c r="F45" s="28"/>
    </row>
    <row r="46" spans="1:6" x14ac:dyDescent="0.25">
      <c r="A46" s="30">
        <f>'91Days pre implementation data'!A79</f>
        <v>46113</v>
      </c>
      <c r="B46" s="29">
        <f>'91Days pre implementation data'!B79</f>
        <v>2.2999999999999998</v>
      </c>
      <c r="C46" t="str">
        <f>'91Days pre implementation data'!C79</f>
        <v>Pre-Implementation Crisis Spike</v>
      </c>
      <c r="D46" t="str">
        <f>'91Days pre implementation data'!D79</f>
        <v>NC</v>
      </c>
      <c r="E46" t="str">
        <f>"Pre-Implementation"</f>
        <v>Pre-Implementation</v>
      </c>
      <c r="F46" s="28"/>
    </row>
    <row r="47" spans="1:6" x14ac:dyDescent="0.25">
      <c r="A47" s="30">
        <f>'91Days post implementation data'!A2</f>
        <v>46114</v>
      </c>
      <c r="B47" s="29">
        <f>'91Days post implementation data'!B2</f>
        <v>3.5000000000000003E-2</v>
      </c>
      <c r="C47" t="str">
        <f>'91Days post implementation data'!C2</f>
        <v>Post-Implementation Control (Go-Live)</v>
      </c>
      <c r="D47" t="str">
        <f>'91Days post implementation data'!D2</f>
        <v>NC</v>
      </c>
      <c r="E47" t="str">
        <f>"Post-Implementation"</f>
        <v>Post-Implementation</v>
      </c>
      <c r="F47" s="28"/>
    </row>
    <row r="48" spans="1:6" x14ac:dyDescent="0.25">
      <c r="A48" s="30">
        <f>'91Days post implementation data'!A3</f>
        <v>46115</v>
      </c>
      <c r="B48" s="29">
        <f>'91Days post implementation data'!B3</f>
        <v>2.3E-2</v>
      </c>
      <c r="C48" t="str">
        <f>'91Days post implementation data'!C3</f>
        <v>Post-Implementation Control</v>
      </c>
      <c r="D48" t="str">
        <f>'91Days post implementation data'!D3</f>
        <v>C</v>
      </c>
      <c r="E48" t="str">
        <f>"Post-Implementation"</f>
        <v>Post-Implementation</v>
      </c>
      <c r="F48" s="28"/>
    </row>
    <row r="49" spans="1:6" x14ac:dyDescent="0.25">
      <c r="A49" s="30">
        <f>'91Days post implementation data'!A4</f>
        <v>46116</v>
      </c>
      <c r="B49" s="29">
        <f>'91Days post implementation data'!B4</f>
        <v>2.9000000000000001E-2</v>
      </c>
      <c r="C49" t="str">
        <f>'91Days post implementation data'!C4</f>
        <v>Post-Implementation Control</v>
      </c>
      <c r="D49" t="str">
        <f>'91Days post implementation data'!D4</f>
        <v>C</v>
      </c>
      <c r="E49" t="str">
        <f>"Post-Implementation"</f>
        <v>Post-Implementation</v>
      </c>
      <c r="F49" s="28"/>
    </row>
    <row r="50" spans="1:6" x14ac:dyDescent="0.25">
      <c r="A50" s="30">
        <f>'91Days post implementation data'!A5</f>
        <v>46117</v>
      </c>
      <c r="B50" s="29">
        <f>'91Days post implementation data'!B5</f>
        <v>3.1E-2</v>
      </c>
      <c r="C50" t="str">
        <f>'91Days post implementation data'!C5</f>
        <v>Post-Implementation Control</v>
      </c>
      <c r="D50" t="str">
        <f>'91Days post implementation data'!D5</f>
        <v>NC</v>
      </c>
      <c r="E50" t="str">
        <f>"Post-Implementation"</f>
        <v>Post-Implementation</v>
      </c>
      <c r="F50" s="28"/>
    </row>
    <row r="51" spans="1:6" x14ac:dyDescent="0.25">
      <c r="A51" s="30">
        <f>'91Days post implementation data'!A6</f>
        <v>46118</v>
      </c>
      <c r="B51" s="29">
        <f>'91Days post implementation data'!B6</f>
        <v>3.3000000000000002E-2</v>
      </c>
      <c r="C51" t="str">
        <f>'91Days post implementation data'!C6</f>
        <v>Post-Implementation Control</v>
      </c>
      <c r="D51" t="str">
        <f>'91Days post implementation data'!D6</f>
        <v>NC</v>
      </c>
      <c r="E51" t="str">
        <f>"Post-Implementation"</f>
        <v>Post-Implementation</v>
      </c>
      <c r="F51" s="28"/>
    </row>
    <row r="52" spans="1:6" x14ac:dyDescent="0.25">
      <c r="A52" s="30">
        <f>'91Days post implementation data'!A7</f>
        <v>46119</v>
      </c>
      <c r="B52" s="29">
        <f>'91Days post implementation data'!B7</f>
        <v>2.7E-2</v>
      </c>
      <c r="C52" t="str">
        <f>'91Days post implementation data'!C7</f>
        <v>Post-Implementation Control</v>
      </c>
      <c r="D52" t="str">
        <f>'91Days post implementation data'!D7</f>
        <v>C</v>
      </c>
      <c r="E52" t="str">
        <f>"Post-Implementation"</f>
        <v>Post-Implementation</v>
      </c>
      <c r="F52" s="28"/>
    </row>
    <row r="53" spans="1:6" x14ac:dyDescent="0.25">
      <c r="A53" s="30">
        <f>'91Days post implementation data'!A8</f>
        <v>46120</v>
      </c>
      <c r="B53" s="29">
        <f>'91Days post implementation data'!B8</f>
        <v>2.8000000000000001E-2</v>
      </c>
      <c r="C53" t="str">
        <f>'91Days post implementation data'!C8</f>
        <v>Post-Implementation Control</v>
      </c>
      <c r="D53" t="str">
        <f>'91Days post implementation data'!D8</f>
        <v>C</v>
      </c>
      <c r="E53" t="str">
        <f>"Post-Implementation"</f>
        <v>Post-Implementation</v>
      </c>
      <c r="F53" s="28"/>
    </row>
    <row r="54" spans="1:6" x14ac:dyDescent="0.25">
      <c r="A54" s="30">
        <f>'91Days post implementation data'!A9</f>
        <v>46121</v>
      </c>
      <c r="B54" s="29">
        <f>'91Days post implementation data'!B9</f>
        <v>3.2000000000000001E-2</v>
      </c>
      <c r="C54" t="str">
        <f>'91Days post implementation data'!C9</f>
        <v>Post-Implementation Control</v>
      </c>
      <c r="D54" t="str">
        <f>'91Days post implementation data'!D9</f>
        <v>NC</v>
      </c>
      <c r="E54" t="str">
        <f>"Post-Implementation"</f>
        <v>Post-Implementation</v>
      </c>
      <c r="F54" s="28"/>
    </row>
    <row r="55" spans="1:6" x14ac:dyDescent="0.25">
      <c r="A55" s="30">
        <f>'91Days post implementation data'!A10</f>
        <v>46122</v>
      </c>
      <c r="B55" s="29">
        <f>'91Days post implementation data'!B10</f>
        <v>3.1E-2</v>
      </c>
      <c r="C55" t="str">
        <f>'91Days post implementation data'!C10</f>
        <v>Post-Implementation Control</v>
      </c>
      <c r="D55" t="str">
        <f>'91Days post implementation data'!D10</f>
        <v>NC</v>
      </c>
      <c r="E55" t="str">
        <f>"Post-Implementation"</f>
        <v>Post-Implementation</v>
      </c>
      <c r="F55" s="28"/>
    </row>
    <row r="56" spans="1:6" x14ac:dyDescent="0.25">
      <c r="A56" s="30">
        <f>'91Days post implementation data'!A11</f>
        <v>46123</v>
      </c>
      <c r="B56" s="29">
        <f>'91Days post implementation data'!B11</f>
        <v>3.5000000000000003E-2</v>
      </c>
      <c r="C56" t="str">
        <f>'91Days post implementation data'!C11</f>
        <v>Post-Implementation Control</v>
      </c>
      <c r="D56" t="str">
        <f>'91Days post implementation data'!D11</f>
        <v>NC</v>
      </c>
      <c r="E56" t="str">
        <f>"Post-Implementation"</f>
        <v>Post-Implementation</v>
      </c>
      <c r="F56" s="28"/>
    </row>
    <row r="57" spans="1:6" x14ac:dyDescent="0.25">
      <c r="A57" s="30">
        <f>'91Days post implementation data'!A12</f>
        <v>46124</v>
      </c>
      <c r="B57" s="29">
        <f>'91Days post implementation data'!B12</f>
        <v>2.9000000000000001E-2</v>
      </c>
      <c r="C57" t="str">
        <f>'91Days post implementation data'!C12</f>
        <v>Post-Implementation Control</v>
      </c>
      <c r="D57" t="str">
        <f>'91Days post implementation data'!D12</f>
        <v>C</v>
      </c>
      <c r="E57" t="str">
        <f>"Post-Implementation"</f>
        <v>Post-Implementation</v>
      </c>
      <c r="F57" s="28"/>
    </row>
    <row r="58" spans="1:6" x14ac:dyDescent="0.25">
      <c r="A58" s="30">
        <f>'91Days post implementation data'!A13</f>
        <v>46125</v>
      </c>
      <c r="B58" s="29">
        <f>'91Days post implementation data'!B13</f>
        <v>3.4000000000000002E-2</v>
      </c>
      <c r="C58" t="str">
        <f>'91Days post implementation data'!C13</f>
        <v>Post-Implementation Control</v>
      </c>
      <c r="D58" t="str">
        <f>'91Days post implementation data'!D13</f>
        <v>NC</v>
      </c>
      <c r="E58" t="str">
        <f>"Post-Implementation"</f>
        <v>Post-Implementation</v>
      </c>
      <c r="F58" s="28"/>
    </row>
    <row r="59" spans="1:6" x14ac:dyDescent="0.25">
      <c r="A59" s="30">
        <f>'91Days post implementation data'!A14</f>
        <v>46126</v>
      </c>
      <c r="B59" s="29">
        <f>'91Days post implementation data'!B14</f>
        <v>0.03</v>
      </c>
      <c r="C59" t="str">
        <f>'91Days post implementation data'!C14</f>
        <v>Post-Implementation Control</v>
      </c>
      <c r="D59" t="str">
        <f>'91Days post implementation data'!D14</f>
        <v>NC</v>
      </c>
      <c r="E59" t="str">
        <f>"Post-Implementation"</f>
        <v>Post-Implementation</v>
      </c>
      <c r="F59" s="28"/>
    </row>
    <row r="60" spans="1:6" x14ac:dyDescent="0.25">
      <c r="A60" s="30">
        <f>'91Days post implementation data'!A15</f>
        <v>46127</v>
      </c>
      <c r="B60" s="29">
        <f>'91Days post implementation data'!B15</f>
        <v>2.9000000000000001E-2</v>
      </c>
      <c r="C60" t="str">
        <f>'91Days post implementation data'!C15</f>
        <v>Post-Implementation Control</v>
      </c>
      <c r="D60" t="str">
        <f>'91Days post implementation data'!D15</f>
        <v>C</v>
      </c>
      <c r="E60" t="str">
        <f>"Post-Implementation"</f>
        <v>Post-Implementation</v>
      </c>
      <c r="F60" s="28"/>
    </row>
    <row r="61" spans="1:6" x14ac:dyDescent="0.25">
      <c r="A61" s="30">
        <f>'91Days post implementation data'!A16</f>
        <v>46128</v>
      </c>
      <c r="B61" s="29">
        <f>'91Days post implementation data'!B16</f>
        <v>2.9000000000000001E-2</v>
      </c>
      <c r="C61" t="str">
        <f>'91Days post implementation data'!C16</f>
        <v>Post-Implementation Control</v>
      </c>
      <c r="D61" t="str">
        <f>'91Days post implementation data'!D16</f>
        <v>C</v>
      </c>
      <c r="E61" t="str">
        <f>"Post-Implementation"</f>
        <v>Post-Implementation</v>
      </c>
      <c r="F61" s="28"/>
    </row>
    <row r="62" spans="1:6" x14ac:dyDescent="0.25">
      <c r="A62" s="30">
        <f>'91Days post implementation data'!A17</f>
        <v>46129</v>
      </c>
      <c r="B62" s="29">
        <f>'91Days post implementation data'!B17</f>
        <v>2.9000000000000001E-2</v>
      </c>
      <c r="C62" t="str">
        <f>'91Days post implementation data'!C17</f>
        <v>Post-Implementation Control</v>
      </c>
      <c r="D62" t="str">
        <f>'91Days post implementation data'!D17</f>
        <v>C</v>
      </c>
      <c r="E62" t="str">
        <f>"Post-Implementation"</f>
        <v>Post-Implementation</v>
      </c>
      <c r="F62" s="28"/>
    </row>
    <row r="63" spans="1:6" x14ac:dyDescent="0.25">
      <c r="A63" s="30">
        <f>'91Days post implementation data'!A18</f>
        <v>46130</v>
      </c>
      <c r="B63" s="29">
        <f>'91Days post implementation data'!B18</f>
        <v>2.9000000000000001E-2</v>
      </c>
      <c r="C63" t="str">
        <f>'91Days post implementation data'!C18</f>
        <v>Post-Implementation Control</v>
      </c>
      <c r="D63" t="str">
        <f>'91Days post implementation data'!D18</f>
        <v>C</v>
      </c>
      <c r="E63" t="str">
        <f>"Post-Implementation"</f>
        <v>Post-Implementation</v>
      </c>
      <c r="F63" s="28"/>
    </row>
    <row r="64" spans="1:6" x14ac:dyDescent="0.25">
      <c r="A64" s="30">
        <f>'91Days post implementation data'!A19</f>
        <v>46131</v>
      </c>
      <c r="B64" s="29">
        <f>'91Days post implementation data'!B19</f>
        <v>2.86E-2</v>
      </c>
      <c r="C64" t="str">
        <f>'91Days post implementation data'!C19</f>
        <v>Post-Implementation Control</v>
      </c>
      <c r="D64" t="str">
        <f>'91Days post implementation data'!D19</f>
        <v>C</v>
      </c>
      <c r="E64" t="str">
        <f>"Post-Implementation"</f>
        <v>Post-Implementation</v>
      </c>
      <c r="F64" s="28"/>
    </row>
    <row r="65" spans="1:6" x14ac:dyDescent="0.25">
      <c r="A65" s="30">
        <f>'91Days post implementation data'!A20</f>
        <v>46132</v>
      </c>
      <c r="B65" s="29">
        <f>'91Days post implementation data'!B20</f>
        <v>2.9000000000000001E-2</v>
      </c>
      <c r="C65" t="str">
        <f>'91Days post implementation data'!C20</f>
        <v>Post-Implementation Control</v>
      </c>
      <c r="D65" t="str">
        <f>'91Days post implementation data'!D20</f>
        <v>C</v>
      </c>
      <c r="E65" t="str">
        <f>"Post-Implementation"</f>
        <v>Post-Implementation</v>
      </c>
      <c r="F65" s="28"/>
    </row>
    <row r="66" spans="1:6" x14ac:dyDescent="0.25">
      <c r="A66" s="30">
        <f>'91Days post implementation data'!A21</f>
        <v>46133</v>
      </c>
      <c r="B66" s="29">
        <f>'91Days post implementation data'!B21</f>
        <v>2.9000000000000001E-2</v>
      </c>
      <c r="C66" t="str">
        <f>'91Days post implementation data'!C21</f>
        <v>Post-Implementation Control</v>
      </c>
      <c r="D66" t="str">
        <f>'91Days post implementation data'!D21</f>
        <v>C</v>
      </c>
      <c r="E66" t="str">
        <f>"Post-Implementation"</f>
        <v>Post-Implementation</v>
      </c>
      <c r="F66" s="28"/>
    </row>
    <row r="67" spans="1:6" x14ac:dyDescent="0.25">
      <c r="A67" s="30">
        <f>'91Days post implementation data'!A22</f>
        <v>46134</v>
      </c>
      <c r="B67" s="29">
        <f>'91Days post implementation data'!B22</f>
        <v>2.9000000000000001E-2</v>
      </c>
      <c r="C67" t="str">
        <f>'91Days post implementation data'!C22</f>
        <v>Post-Implementation Control</v>
      </c>
      <c r="D67" t="str">
        <f>'91Days post implementation data'!D22</f>
        <v>C</v>
      </c>
      <c r="E67" t="str">
        <f>"Post-Implementation"</f>
        <v>Post-Implementation</v>
      </c>
      <c r="F67" s="28"/>
    </row>
    <row r="68" spans="1:6" x14ac:dyDescent="0.25">
      <c r="A68" s="30">
        <f>'91Days post implementation data'!A23</f>
        <v>46135</v>
      </c>
      <c r="B68" s="29">
        <f>'91Days post implementation data'!B23</f>
        <v>2.9000000000000001E-2</v>
      </c>
      <c r="C68" t="str">
        <f>'91Days post implementation data'!C23</f>
        <v>Post-Implementation Control</v>
      </c>
      <c r="D68" t="str">
        <f>'91Days post implementation data'!D23</f>
        <v>C</v>
      </c>
      <c r="E68" t="str">
        <f>"Post-Implementation"</f>
        <v>Post-Implementation</v>
      </c>
      <c r="F68" s="28"/>
    </row>
    <row r="69" spans="1:6" x14ac:dyDescent="0.25">
      <c r="A69" s="30">
        <f>'91Days post implementation data'!A24</f>
        <v>46136</v>
      </c>
      <c r="B69" s="29">
        <f>'91Days post implementation data'!B24</f>
        <v>2.9000000000000001E-2</v>
      </c>
      <c r="C69" t="str">
        <f>'91Days post implementation data'!C24</f>
        <v>Post-Implementation Control</v>
      </c>
      <c r="D69" t="str">
        <f>'91Days post implementation data'!D24</f>
        <v>C</v>
      </c>
      <c r="E69" t="str">
        <f>"Post-Implementation"</f>
        <v>Post-Implementation</v>
      </c>
      <c r="F69" s="28"/>
    </row>
    <row r="70" spans="1:6" x14ac:dyDescent="0.25">
      <c r="A70" s="30">
        <f>'91Days post implementation data'!A25</f>
        <v>46137</v>
      </c>
      <c r="B70" s="29">
        <f>'91Days post implementation data'!B25</f>
        <v>2.9000000000000001E-2</v>
      </c>
      <c r="C70" t="str">
        <f>'91Days post implementation data'!C25</f>
        <v>Post-Implementation Control</v>
      </c>
      <c r="D70" t="str">
        <f>'91Days post implementation data'!D25</f>
        <v>C</v>
      </c>
      <c r="E70" t="str">
        <f>"Post-Implementation"</f>
        <v>Post-Implementation</v>
      </c>
      <c r="F70" s="28"/>
    </row>
    <row r="71" spans="1:6" x14ac:dyDescent="0.25">
      <c r="A71" s="30">
        <f>'91Days post implementation data'!A26</f>
        <v>46138</v>
      </c>
      <c r="B71" s="29">
        <f>'91Days post implementation data'!B26</f>
        <v>2.8799999999999999E-2</v>
      </c>
      <c r="C71" t="str">
        <f>'91Days post implementation data'!C26</f>
        <v>Post-Implementation Control</v>
      </c>
      <c r="D71" t="str">
        <f>'91Days post implementation data'!D26</f>
        <v>C</v>
      </c>
      <c r="E71" t="str">
        <f>"Post-Implementation"</f>
        <v>Post-Implementation</v>
      </c>
      <c r="F71" s="28"/>
    </row>
    <row r="72" spans="1:6" x14ac:dyDescent="0.25">
      <c r="A72" s="30">
        <f>'91Days post implementation data'!A27</f>
        <v>46139</v>
      </c>
      <c r="B72" s="29">
        <f>'91Days post implementation data'!B27</f>
        <v>2.9000000000000001E-2</v>
      </c>
      <c r="C72" t="str">
        <f>'91Days post implementation data'!C27</f>
        <v>Post-Implementation Control</v>
      </c>
      <c r="D72" t="str">
        <f>'91Days post implementation data'!D27</f>
        <v>C</v>
      </c>
      <c r="E72" t="str">
        <f>"Post-Implementation"</f>
        <v>Post-Implementation</v>
      </c>
      <c r="F72" s="28"/>
    </row>
    <row r="73" spans="1:6" x14ac:dyDescent="0.25">
      <c r="A73" s="30">
        <f>'91Days post implementation data'!A28</f>
        <v>46140</v>
      </c>
      <c r="B73" s="29">
        <f>'91Days post implementation data'!B28</f>
        <v>2.9000000000000001E-2</v>
      </c>
      <c r="C73" t="str">
        <f>'91Days post implementation data'!C28</f>
        <v>Post-Implementation Control</v>
      </c>
      <c r="D73" t="str">
        <f>'91Days post implementation data'!D28</f>
        <v>C</v>
      </c>
      <c r="E73" t="str">
        <f>"Post-Implementation"</f>
        <v>Post-Implementation</v>
      </c>
      <c r="F73" s="28"/>
    </row>
    <row r="74" spans="1:6" x14ac:dyDescent="0.25">
      <c r="A74" s="30">
        <f>'91Days post implementation data'!A29</f>
        <v>46141</v>
      </c>
      <c r="B74" s="29">
        <f>'91Days post implementation data'!B29</f>
        <v>2.9000000000000001E-2</v>
      </c>
      <c r="C74" t="str">
        <f>'91Days post implementation data'!C29</f>
        <v>Post-Implementation Control</v>
      </c>
      <c r="D74" t="str">
        <f>'91Days post implementation data'!D29</f>
        <v>C</v>
      </c>
      <c r="E74" t="str">
        <f>"Post-Implementation"</f>
        <v>Post-Implementation</v>
      </c>
      <c r="F74" s="28"/>
    </row>
    <row r="75" spans="1:6" x14ac:dyDescent="0.25">
      <c r="A75" s="30">
        <f>'91Days post implementation data'!A30</f>
        <v>46142</v>
      </c>
      <c r="B75" s="29">
        <f>'91Days post implementation data'!B30</f>
        <v>2.9000000000000001E-2</v>
      </c>
      <c r="C75" t="str">
        <f>'91Days post implementation data'!C30</f>
        <v>Post-Implementation Control</v>
      </c>
      <c r="D75" t="str">
        <f>'91Days post implementation data'!D30</f>
        <v>C</v>
      </c>
      <c r="E75" t="str">
        <f>"Post-Implementation"</f>
        <v>Post-Implementation</v>
      </c>
      <c r="F75" s="28"/>
    </row>
    <row r="76" spans="1:6" x14ac:dyDescent="0.25">
      <c r="A76" s="30">
        <f>'91Days post implementation data'!A31</f>
        <v>46143</v>
      </c>
      <c r="B76" s="29">
        <f>'91Days post implementation data'!B31</f>
        <v>2.9000000000000001E-2</v>
      </c>
      <c r="C76" t="str">
        <f>'91Days post implementation data'!C31</f>
        <v>Post-Implementation Control</v>
      </c>
      <c r="D76" t="str">
        <f>'91Days post implementation data'!D31</f>
        <v>C</v>
      </c>
      <c r="E76" t="str">
        <f>"Post-Implementation"</f>
        <v>Post-Implementation</v>
      </c>
      <c r="F76" s="28"/>
    </row>
    <row r="77" spans="1:6" x14ac:dyDescent="0.25">
      <c r="A77" s="30">
        <f>'91Days post implementation data'!A32</f>
        <v>46144</v>
      </c>
      <c r="B77" s="29">
        <f>'91Days post implementation data'!B32</f>
        <v>2.9000000000000001E-2</v>
      </c>
      <c r="C77" t="str">
        <f>'91Days post implementation data'!C32</f>
        <v>Post-Implementation Control</v>
      </c>
      <c r="D77" t="str">
        <f>'91Days post implementation data'!D32</f>
        <v>C</v>
      </c>
      <c r="E77" t="str">
        <f>"Post-Implementation"</f>
        <v>Post-Implementation</v>
      </c>
      <c r="F77" s="28"/>
    </row>
    <row r="78" spans="1:6" x14ac:dyDescent="0.25">
      <c r="A78" s="30">
        <f>'91Days post implementation data'!A33</f>
        <v>46145</v>
      </c>
      <c r="B78" s="29">
        <f>'91Days post implementation data'!B33</f>
        <v>2.9000000000000001E-2</v>
      </c>
      <c r="C78" t="str">
        <f>'91Days post implementation data'!C33</f>
        <v>Post-Implementation Control</v>
      </c>
      <c r="D78" t="str">
        <f>'91Days post implementation data'!D33</f>
        <v>C</v>
      </c>
      <c r="E78" t="str">
        <f>"Post-Implementation"</f>
        <v>Post-Implementation</v>
      </c>
      <c r="F78" s="28"/>
    </row>
    <row r="79" spans="1:6" x14ac:dyDescent="0.25">
      <c r="A79" s="30">
        <f>'91Days post implementation data'!A34</f>
        <v>46146</v>
      </c>
      <c r="B79" s="29">
        <f>'91Days post implementation data'!B34</f>
        <v>2.8400000000000002E-2</v>
      </c>
      <c r="C79" t="str">
        <f>'91Days post implementation data'!C34</f>
        <v>Post-Implementation Control</v>
      </c>
      <c r="D79" t="str">
        <f>'91Days post implementation data'!D34</f>
        <v>C</v>
      </c>
      <c r="E79" t="str">
        <f>"Post-Implementation"</f>
        <v>Post-Implementation</v>
      </c>
      <c r="F79" s="28"/>
    </row>
    <row r="80" spans="1:6" x14ac:dyDescent="0.25">
      <c r="A80" s="30">
        <f>'91Days post implementation data'!A35</f>
        <v>46147</v>
      </c>
      <c r="B80" s="29">
        <f>'91Days post implementation data'!B35</f>
        <v>2.9000000000000001E-2</v>
      </c>
      <c r="C80" t="str">
        <f>'91Days post implementation data'!C35</f>
        <v>Post-Implementation Control</v>
      </c>
      <c r="D80" t="str">
        <f>'91Days post implementation data'!D35</f>
        <v>C</v>
      </c>
      <c r="E80" t="str">
        <f>"Post-Implementation"</f>
        <v>Post-Implementation</v>
      </c>
      <c r="F80" s="28"/>
    </row>
    <row r="81" spans="1:6" x14ac:dyDescent="0.25">
      <c r="A81" s="30">
        <f>'91Days post implementation data'!A36</f>
        <v>46148</v>
      </c>
      <c r="B81" s="29">
        <f>'91Days post implementation data'!B36</f>
        <v>2.9000000000000001E-2</v>
      </c>
      <c r="C81" t="str">
        <f>'91Days post implementation data'!C36</f>
        <v>Post-Implementation Control</v>
      </c>
      <c r="D81" t="str">
        <f>'91Days post implementation data'!D36</f>
        <v>C</v>
      </c>
      <c r="E81" t="str">
        <f>"Post-Implementation"</f>
        <v>Post-Implementation</v>
      </c>
      <c r="F81" s="28"/>
    </row>
    <row r="82" spans="1:6" x14ac:dyDescent="0.25">
      <c r="A82" s="30">
        <f>'91Days post implementation data'!A37</f>
        <v>46149</v>
      </c>
      <c r="B82" s="29">
        <f>'91Days post implementation data'!B37</f>
        <v>2.9000000000000001E-2</v>
      </c>
      <c r="C82" t="str">
        <f>'91Days post implementation data'!C37</f>
        <v>Post-Implementation Control</v>
      </c>
      <c r="D82" t="str">
        <f>'91Days post implementation data'!D37</f>
        <v>C</v>
      </c>
      <c r="E82" t="str">
        <f>"Post-Implementation"</f>
        <v>Post-Implementation</v>
      </c>
      <c r="F82" s="28"/>
    </row>
    <row r="83" spans="1:6" x14ac:dyDescent="0.25">
      <c r="A83" s="30">
        <f>'91Days post implementation data'!A38</f>
        <v>46150</v>
      </c>
      <c r="B83" s="29">
        <f>'91Days post implementation data'!B38</f>
        <v>2.9000000000000001E-2</v>
      </c>
      <c r="C83" t="str">
        <f>'91Days post implementation data'!C38</f>
        <v>Post-Implementation Control</v>
      </c>
      <c r="D83" t="str">
        <f>'91Days post implementation data'!D38</f>
        <v>C</v>
      </c>
      <c r="E83" t="str">
        <f>"Post-Implementation"</f>
        <v>Post-Implementation</v>
      </c>
      <c r="F83" s="28"/>
    </row>
    <row r="84" spans="1:6" x14ac:dyDescent="0.25">
      <c r="A84" s="30">
        <f>'91Days post implementation data'!A39</f>
        <v>46151</v>
      </c>
      <c r="B84" s="29">
        <f>'91Days post implementation data'!B39</f>
        <v>2.9000000000000001E-2</v>
      </c>
      <c r="C84" t="str">
        <f>'91Days post implementation data'!C39</f>
        <v>Post-Implementation Control</v>
      </c>
      <c r="D84" t="str">
        <f>'91Days post implementation data'!D39</f>
        <v>C</v>
      </c>
      <c r="E84" t="str">
        <f>"Post-Implementation"</f>
        <v>Post-Implementation</v>
      </c>
      <c r="F84" s="28"/>
    </row>
    <row r="85" spans="1:6" x14ac:dyDescent="0.25">
      <c r="A85" s="30">
        <f>'91Days post implementation data'!A40</f>
        <v>46152</v>
      </c>
      <c r="B85" s="29">
        <f>'91Days post implementation data'!B40</f>
        <v>2.9000000000000001E-2</v>
      </c>
      <c r="C85" t="str">
        <f>'91Days post implementation data'!C40</f>
        <v>Post-Implementation Control</v>
      </c>
      <c r="D85" t="str">
        <f>'91Days post implementation data'!D40</f>
        <v>C</v>
      </c>
      <c r="E85" t="str">
        <f>"Post-Implementation"</f>
        <v>Post-Implementation</v>
      </c>
      <c r="F85" s="28"/>
    </row>
    <row r="86" spans="1:6" x14ac:dyDescent="0.25">
      <c r="A86" s="30">
        <f>'91Days post implementation data'!A41</f>
        <v>46153</v>
      </c>
      <c r="B86" s="29">
        <f>'91Days post implementation data'!B41</f>
        <v>2.9000000000000001E-2</v>
      </c>
      <c r="C86" t="str">
        <f>'91Days post implementation data'!C41</f>
        <v>Post-Implementation Control</v>
      </c>
      <c r="D86" t="str">
        <f>'91Days post implementation data'!D41</f>
        <v>C</v>
      </c>
      <c r="E86" t="str">
        <f>"Post-Implementation"</f>
        <v>Post-Implementation</v>
      </c>
      <c r="F86" s="28"/>
    </row>
    <row r="87" spans="1:6" x14ac:dyDescent="0.25">
      <c r="A87" s="30">
        <f>'91Days post implementation data'!A42</f>
        <v>46154</v>
      </c>
      <c r="B87" s="29">
        <f>'91Days post implementation data'!B42</f>
        <v>2.87E-2</v>
      </c>
      <c r="C87" t="str">
        <f>'91Days post implementation data'!C42</f>
        <v>Post-Implementation Control</v>
      </c>
      <c r="D87" t="str">
        <f>'91Days post implementation data'!D42</f>
        <v>C</v>
      </c>
      <c r="E87" t="str">
        <f>"Post-Implementation"</f>
        <v>Post-Implementation</v>
      </c>
      <c r="F87" s="28"/>
    </row>
    <row r="88" spans="1:6" x14ac:dyDescent="0.25">
      <c r="A88" s="30">
        <f>'91Days post implementation data'!A43</f>
        <v>46155</v>
      </c>
      <c r="B88" s="29">
        <f>'91Days post implementation data'!B43</f>
        <v>2.9000000000000001E-2</v>
      </c>
      <c r="C88" t="str">
        <f>'91Days post implementation data'!C43</f>
        <v>Post-Implementation Control</v>
      </c>
      <c r="D88" t="str">
        <f>'91Days post implementation data'!D43</f>
        <v>C</v>
      </c>
      <c r="E88" t="str">
        <f>"Post-Implementation"</f>
        <v>Post-Implementation</v>
      </c>
      <c r="F88" s="28"/>
    </row>
    <row r="89" spans="1:6" x14ac:dyDescent="0.25">
      <c r="A89" s="30">
        <f>'91Days post implementation data'!A44</f>
        <v>46156</v>
      </c>
      <c r="B89" s="29">
        <f>'91Days post implementation data'!B44</f>
        <v>2.9000000000000001E-2</v>
      </c>
      <c r="C89" t="str">
        <f>'91Days post implementation data'!C44</f>
        <v>Post-Implementation Control</v>
      </c>
      <c r="D89" t="str">
        <f>'91Days post implementation data'!D44</f>
        <v>C</v>
      </c>
      <c r="E89" t="str">
        <f>"Post-Implementation"</f>
        <v>Post-Implementation</v>
      </c>
      <c r="F89" s="28"/>
    </row>
    <row r="90" spans="1:6" x14ac:dyDescent="0.25">
      <c r="A90" s="30">
        <f>'91Days post implementation data'!A45</f>
        <v>46157</v>
      </c>
      <c r="B90" s="29">
        <f>'91Days post implementation data'!B45</f>
        <v>2.9000000000000001E-2</v>
      </c>
      <c r="C90" t="str">
        <f>'91Days post implementation data'!C45</f>
        <v>Post-Implementation Control</v>
      </c>
      <c r="D90" t="str">
        <f>'91Days post implementation data'!D45</f>
        <v>C</v>
      </c>
      <c r="E90" t="str">
        <f>"Post-Implementation"</f>
        <v>Post-Implementation</v>
      </c>
      <c r="F90" s="28"/>
    </row>
    <row r="91" spans="1:6" x14ac:dyDescent="0.25">
      <c r="A91" s="30">
        <f>'91Days post implementation data'!A46</f>
        <v>46158</v>
      </c>
      <c r="B91" s="29">
        <f>'91Days post implementation data'!B46</f>
        <v>2.9000000000000001E-2</v>
      </c>
      <c r="C91" t="str">
        <f>'91Days post implementation data'!C46</f>
        <v>Post-Implementation Control</v>
      </c>
      <c r="D91" t="str">
        <f>'91Days post implementation data'!D46</f>
        <v>C</v>
      </c>
      <c r="E91" t="str">
        <f>"Post-Implementation"</f>
        <v>Post-Implementation</v>
      </c>
      <c r="F91" s="28"/>
    </row>
  </sheetData>
  <mergeCells count="5">
    <mergeCell ref="G15:L19"/>
    <mergeCell ref="G14:L14"/>
    <mergeCell ref="G24:L24"/>
    <mergeCell ref="G25:L32"/>
    <mergeCell ref="G6:H6"/>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1DB30-19A1-41AB-9DA5-67F48316EF0E}">
  <dimension ref="A1:M92"/>
  <sheetViews>
    <sheetView workbookViewId="0">
      <selection activeCell="F23" sqref="F23:L27"/>
    </sheetView>
  </sheetViews>
  <sheetFormatPr defaultRowHeight="15" x14ac:dyDescent="0.25"/>
  <cols>
    <col min="1" max="1" width="10.42578125" style="4" bestFit="1" customWidth="1"/>
    <col min="2" max="2" width="12.5703125" style="7" customWidth="1"/>
    <col min="3" max="3" width="35.5703125" style="4" bestFit="1" customWidth="1"/>
    <col min="4" max="4" width="10.85546875" style="4" customWidth="1"/>
    <col min="5" max="5" width="16.85546875" style="4" customWidth="1"/>
    <col min="6" max="6" width="26.42578125" style="4" bestFit="1" customWidth="1"/>
    <col min="7" max="7" width="11.5703125" style="4" bestFit="1" customWidth="1"/>
    <col min="8" max="8" width="9.140625" style="4"/>
    <col min="9" max="10" width="30.5703125" style="4" customWidth="1"/>
    <col min="11" max="13" width="9.140625" style="4"/>
  </cols>
  <sheetData>
    <row r="1" spans="1:12" x14ac:dyDescent="0.25">
      <c r="A1" s="6" t="s">
        <v>0</v>
      </c>
      <c r="B1" s="6" t="s">
        <v>1</v>
      </c>
      <c r="C1" s="6" t="s">
        <v>2</v>
      </c>
      <c r="D1" s="6" t="s">
        <v>22</v>
      </c>
    </row>
    <row r="2" spans="1:12" x14ac:dyDescent="0.25">
      <c r="A2" s="1">
        <v>46114</v>
      </c>
      <c r="B2" s="7">
        <v>3.5000000000000003E-2</v>
      </c>
      <c r="C2" s="4" t="s">
        <v>5</v>
      </c>
      <c r="D2" s="4" t="str">
        <f>IF(B2&gt;$G$3,"NC","C")</f>
        <v>NC</v>
      </c>
      <c r="F2" s="4" t="s">
        <v>8</v>
      </c>
      <c r="G2" s="3">
        <f>PERCENTILE(B2:B92,0.5)</f>
        <v>2.9000000000000001E-2</v>
      </c>
    </row>
    <row r="3" spans="1:12" x14ac:dyDescent="0.25">
      <c r="A3" s="1">
        <v>46115</v>
      </c>
      <c r="B3" s="7">
        <v>2.3E-2</v>
      </c>
      <c r="C3" s="4" t="s">
        <v>6</v>
      </c>
      <c r="D3" s="4" t="str">
        <f>IF(B3&gt;$G$3,"NC","C")</f>
        <v>C</v>
      </c>
      <c r="F3" s="4" t="s">
        <v>9</v>
      </c>
      <c r="G3" s="3">
        <f>PERCENTILE(B2:B92,0.25)</f>
        <v>2.9000000000000001E-2</v>
      </c>
      <c r="H3" s="4" t="s">
        <v>10</v>
      </c>
    </row>
    <row r="4" spans="1:12" x14ac:dyDescent="0.25">
      <c r="A4" s="1">
        <v>46116</v>
      </c>
      <c r="B4" s="7">
        <v>2.9000000000000001E-2</v>
      </c>
      <c r="C4" s="4" t="s">
        <v>6</v>
      </c>
      <c r="D4" s="4" t="str">
        <f>IF(B4&gt;$G$3,"NC","C")</f>
        <v>C</v>
      </c>
    </row>
    <row r="5" spans="1:12" x14ac:dyDescent="0.25">
      <c r="A5" s="1">
        <v>46117</v>
      </c>
      <c r="B5" s="7">
        <v>3.1E-2</v>
      </c>
      <c r="C5" s="4" t="s">
        <v>6</v>
      </c>
      <c r="D5" s="4" t="str">
        <f>IF(B5&gt;$G$3,"NC","C")</f>
        <v>NC</v>
      </c>
    </row>
    <row r="6" spans="1:12" x14ac:dyDescent="0.25">
      <c r="A6" s="1">
        <v>46118</v>
      </c>
      <c r="B6" s="7">
        <v>3.3000000000000002E-2</v>
      </c>
      <c r="C6" s="4" t="s">
        <v>6</v>
      </c>
      <c r="D6" s="4" t="str">
        <f>IF(B6&gt;$G$3,"NC","C")</f>
        <v>NC</v>
      </c>
      <c r="F6" s="27" t="s">
        <v>19</v>
      </c>
      <c r="G6" s="27"/>
      <c r="I6" s="9" t="s">
        <v>38</v>
      </c>
      <c r="J6" s="9" t="s">
        <v>27</v>
      </c>
    </row>
    <row r="7" spans="1:12" x14ac:dyDescent="0.25">
      <c r="A7" s="1">
        <v>46119</v>
      </c>
      <c r="B7" s="7">
        <v>2.7E-2</v>
      </c>
      <c r="C7" s="4" t="s">
        <v>6</v>
      </c>
      <c r="D7" s="4" t="str">
        <f>IF(B7&gt;$G$3,"NC","C")</f>
        <v>C</v>
      </c>
      <c r="F7" s="4" t="s">
        <v>14</v>
      </c>
      <c r="G7" s="7">
        <f>COUNTIF(D2:D92,"NC")</f>
        <v>8</v>
      </c>
    </row>
    <row r="8" spans="1:12" x14ac:dyDescent="0.25">
      <c r="A8" s="1">
        <v>46120</v>
      </c>
      <c r="B8" s="7">
        <v>2.8000000000000001E-2</v>
      </c>
      <c r="C8" s="4" t="s">
        <v>6</v>
      </c>
      <c r="D8" s="4" t="str">
        <f>IF(B8&gt;$G$3,"NC","C")</f>
        <v>C</v>
      </c>
      <c r="F8" s="4" t="s">
        <v>15</v>
      </c>
      <c r="G8" s="7">
        <f>COUNT(A2:A92)</f>
        <v>91</v>
      </c>
    </row>
    <row r="9" spans="1:12" x14ac:dyDescent="0.25">
      <c r="A9" s="1">
        <v>46121</v>
      </c>
      <c r="B9" s="7">
        <v>3.2000000000000001E-2</v>
      </c>
      <c r="C9" s="4" t="s">
        <v>6</v>
      </c>
      <c r="D9" s="4" t="str">
        <f>IF(B9&gt;$G$3,"NC","C")</f>
        <v>NC</v>
      </c>
      <c r="F9" s="4" t="s">
        <v>16</v>
      </c>
      <c r="G9" s="8">
        <f>G7/G8</f>
        <v>8.7912087912087919E-2</v>
      </c>
      <c r="I9" s="2" t="s">
        <v>28</v>
      </c>
      <c r="J9" s="4" t="s">
        <v>29</v>
      </c>
    </row>
    <row r="10" spans="1:12" x14ac:dyDescent="0.25">
      <c r="A10" s="1">
        <v>46122</v>
      </c>
      <c r="B10" s="7">
        <v>3.1E-2</v>
      </c>
      <c r="C10" s="4" t="s">
        <v>6</v>
      </c>
      <c r="D10" s="4" t="str">
        <f>IF(B10&gt;$G$3,"NC","C")</f>
        <v>NC</v>
      </c>
      <c r="F10" s="4" t="s">
        <v>17</v>
      </c>
      <c r="G10" s="10">
        <f>G9*1000000</f>
        <v>87912.087912087925</v>
      </c>
      <c r="I10" s="2" t="s">
        <v>32</v>
      </c>
      <c r="J10" s="4" t="s">
        <v>34</v>
      </c>
    </row>
    <row r="11" spans="1:12" x14ac:dyDescent="0.25">
      <c r="A11" s="1">
        <v>46123</v>
      </c>
      <c r="B11" s="7">
        <v>3.5000000000000003E-2</v>
      </c>
      <c r="C11" s="4" t="s">
        <v>6</v>
      </c>
      <c r="D11" s="4" t="str">
        <f>IF(B11&gt;$G$3,"NC","C")</f>
        <v>NC</v>
      </c>
      <c r="F11" s="4" t="s">
        <v>18</v>
      </c>
      <c r="G11" s="8">
        <f>NORMSINV(1-G9)</f>
        <v>1.3537248536782602</v>
      </c>
      <c r="I11" s="2" t="s">
        <v>26</v>
      </c>
      <c r="J11" s="4" t="s">
        <v>31</v>
      </c>
    </row>
    <row r="12" spans="1:12" x14ac:dyDescent="0.25">
      <c r="A12" s="1">
        <v>46124</v>
      </c>
      <c r="B12" s="7">
        <v>2.9000000000000001E-2</v>
      </c>
      <c r="C12" s="4" t="s">
        <v>6</v>
      </c>
      <c r="D12" s="4" t="str">
        <f>IF(B12&gt;$G$3,"NC","C")</f>
        <v>C</v>
      </c>
    </row>
    <row r="13" spans="1:12" ht="15.75" thickBot="1" x14ac:dyDescent="0.3">
      <c r="A13" s="1">
        <v>46125</v>
      </c>
      <c r="B13" s="7">
        <v>3.4000000000000002E-2</v>
      </c>
      <c r="C13" s="4" t="s">
        <v>6</v>
      </c>
      <c r="D13" s="4" t="str">
        <f>IF(B13&gt;$G$3,"NC","C")</f>
        <v>NC</v>
      </c>
    </row>
    <row r="14" spans="1:12" ht="22.5" customHeight="1" thickBot="1" x14ac:dyDescent="0.3">
      <c r="A14" s="1">
        <v>46126</v>
      </c>
      <c r="B14" s="7">
        <v>0.03</v>
      </c>
      <c r="C14" s="4" t="s">
        <v>6</v>
      </c>
      <c r="D14" s="4" t="str">
        <f>IF(B14&gt;$G$3,"NC","C")</f>
        <v>NC</v>
      </c>
      <c r="F14" s="24" t="s">
        <v>12</v>
      </c>
      <c r="G14" s="25"/>
      <c r="H14" s="25"/>
      <c r="I14" s="25"/>
      <c r="J14" s="25"/>
      <c r="K14" s="25"/>
      <c r="L14" s="26"/>
    </row>
    <row r="15" spans="1:12" x14ac:dyDescent="0.25">
      <c r="A15" s="1">
        <v>46127</v>
      </c>
      <c r="B15" s="8">
        <v>2.9000000000000001E-2</v>
      </c>
      <c r="C15" s="4" t="s">
        <v>6</v>
      </c>
      <c r="D15" s="4" t="str">
        <f>IF(B15&gt;$G$3,"NC","C")</f>
        <v>C</v>
      </c>
      <c r="F15" s="11" t="str">
        <f>"To sustain Daily Reporting Latency at P50 = "&amp;TEXT(G2,"0.000")&amp;" hours and P25 = "&amp;TEXT(G3,"0.000")&amp;" hours, while reducing non-compliant runs from "&amp;G7&amp;" to no more than 2 per 91-day control cycle. This will lower DPMO from "&amp;TEXT(G10,"#,##0")&amp;" to no more than 22,000 and raise process capability from "&amp;TEXT(G11,"0.0000")&amp;" sigma to at least 2.00 sigma as the next demonstrated performance threshold."</f>
        <v>To sustain Daily Reporting Latency at P50 = 0.029 hours and P25 = 0.029 hours, while reducing non-compliant runs from 8 to no more than 2 per 91-day control cycle. This will lower DPMO from 87,912 to no more than 22,000 and raise process capability from 1.3537 sigma to at least 2.00 sigma as the next demonstrated performance threshold.</v>
      </c>
      <c r="G15" s="12"/>
      <c r="H15" s="12"/>
      <c r="I15" s="12"/>
      <c r="J15" s="12"/>
      <c r="K15" s="12"/>
      <c r="L15" s="13"/>
    </row>
    <row r="16" spans="1:12" x14ac:dyDescent="0.25">
      <c r="A16" s="1">
        <v>46128</v>
      </c>
      <c r="B16" s="8">
        <v>2.9000000000000001E-2</v>
      </c>
      <c r="C16" s="4" t="s">
        <v>6</v>
      </c>
      <c r="D16" s="4" t="str">
        <f>IF(B16&gt;$G$3,"NC","C")</f>
        <v>C</v>
      </c>
      <c r="F16" s="14"/>
      <c r="G16" s="15"/>
      <c r="H16" s="15"/>
      <c r="I16" s="15"/>
      <c r="J16" s="15"/>
      <c r="K16" s="15"/>
      <c r="L16" s="16"/>
    </row>
    <row r="17" spans="1:12" x14ac:dyDescent="0.25">
      <c r="A17" s="1">
        <v>46129</v>
      </c>
      <c r="B17" s="8">
        <v>2.9000000000000001E-2</v>
      </c>
      <c r="C17" s="4" t="s">
        <v>6</v>
      </c>
      <c r="D17" s="4" t="str">
        <f>IF(B17&gt;$G$3,"NC","C")</f>
        <v>C</v>
      </c>
      <c r="F17" s="14"/>
      <c r="G17" s="15"/>
      <c r="H17" s="15"/>
      <c r="I17" s="15"/>
      <c r="J17" s="15"/>
      <c r="K17" s="15"/>
      <c r="L17" s="16"/>
    </row>
    <row r="18" spans="1:12" ht="23.25" customHeight="1" thickBot="1" x14ac:dyDescent="0.3">
      <c r="A18" s="1">
        <v>46130</v>
      </c>
      <c r="B18" s="8">
        <v>2.9000000000000001E-2</v>
      </c>
      <c r="C18" s="4" t="s">
        <v>6</v>
      </c>
      <c r="D18" s="4" t="str">
        <f>IF(B18&gt;$G$3,"NC","C")</f>
        <v>C</v>
      </c>
      <c r="F18" s="17"/>
      <c r="G18" s="18"/>
      <c r="H18" s="18"/>
      <c r="I18" s="18"/>
      <c r="J18" s="18"/>
      <c r="K18" s="18"/>
      <c r="L18" s="19"/>
    </row>
    <row r="19" spans="1:12" x14ac:dyDescent="0.25">
      <c r="A19" s="1">
        <v>46131</v>
      </c>
      <c r="B19" s="8">
        <v>2.86E-2</v>
      </c>
      <c r="C19" s="4" t="s">
        <v>6</v>
      </c>
      <c r="D19" s="4" t="str">
        <f>IF(B19&gt;$G$3,"NC","C")</f>
        <v>C</v>
      </c>
    </row>
    <row r="20" spans="1:12" x14ac:dyDescent="0.25">
      <c r="A20" s="1">
        <v>46132</v>
      </c>
      <c r="B20" s="8">
        <v>2.9000000000000001E-2</v>
      </c>
      <c r="C20" s="4" t="s">
        <v>6</v>
      </c>
      <c r="D20" s="4" t="str">
        <f>IF(B20&gt;$G$3,"NC","C")</f>
        <v>C</v>
      </c>
    </row>
    <row r="21" spans="1:12" ht="15.75" thickBot="1" x14ac:dyDescent="0.3">
      <c r="A21" s="1">
        <v>46133</v>
      </c>
      <c r="B21" s="8">
        <v>2.9000000000000001E-2</v>
      </c>
      <c r="C21" s="4" t="s">
        <v>6</v>
      </c>
      <c r="D21" s="4" t="str">
        <f>IF(B21&gt;$G$3,"NC","C")</f>
        <v>C</v>
      </c>
    </row>
    <row r="22" spans="1:12" ht="19.5" thickBot="1" x14ac:dyDescent="0.3">
      <c r="A22" s="1">
        <v>46134</v>
      </c>
      <c r="B22" s="8">
        <v>2.9000000000000001E-2</v>
      </c>
      <c r="C22" s="4" t="s">
        <v>6</v>
      </c>
      <c r="D22" s="4" t="str">
        <f>IF(B22&gt;$G$3,"NC","C")</f>
        <v>C</v>
      </c>
      <c r="F22" s="24" t="s">
        <v>21</v>
      </c>
      <c r="G22" s="25"/>
      <c r="H22" s="25"/>
      <c r="I22" s="25"/>
      <c r="J22" s="25"/>
      <c r="K22" s="25"/>
      <c r="L22" s="26"/>
    </row>
    <row r="23" spans="1:12" x14ac:dyDescent="0.25">
      <c r="A23" s="1">
        <v>46135</v>
      </c>
      <c r="B23" s="8">
        <v>2.9000000000000001E-2</v>
      </c>
      <c r="C23" s="4" t="s">
        <v>6</v>
      </c>
      <c r="D23" s="4" t="str">
        <f>IF(B23&gt;$G$3,"NC","C")</f>
        <v>C</v>
      </c>
      <c r="F23" s="11" t="s">
        <v>39</v>
      </c>
      <c r="G23" s="12"/>
      <c r="H23" s="12"/>
      <c r="I23" s="12"/>
      <c r="J23" s="12"/>
      <c r="K23" s="12"/>
      <c r="L23" s="13"/>
    </row>
    <row r="24" spans="1:12" x14ac:dyDescent="0.25">
      <c r="A24" s="1">
        <v>46136</v>
      </c>
      <c r="B24" s="8">
        <v>2.9000000000000001E-2</v>
      </c>
      <c r="C24" s="4" t="s">
        <v>6</v>
      </c>
      <c r="D24" s="4" t="str">
        <f>IF(B24&gt;$G$3,"NC","C")</f>
        <v>C</v>
      </c>
      <c r="F24" s="14"/>
      <c r="G24" s="15"/>
      <c r="H24" s="15"/>
      <c r="I24" s="15"/>
      <c r="J24" s="15"/>
      <c r="K24" s="15"/>
      <c r="L24" s="16"/>
    </row>
    <row r="25" spans="1:12" x14ac:dyDescent="0.25">
      <c r="A25" s="1">
        <v>46137</v>
      </c>
      <c r="B25" s="8">
        <v>2.9000000000000001E-2</v>
      </c>
      <c r="C25" s="4" t="s">
        <v>6</v>
      </c>
      <c r="D25" s="4" t="str">
        <f>IF(B25&gt;$G$3,"NC","C")</f>
        <v>C</v>
      </c>
      <c r="F25" s="14"/>
      <c r="G25" s="15"/>
      <c r="H25" s="15"/>
      <c r="I25" s="15"/>
      <c r="J25" s="15"/>
      <c r="K25" s="15"/>
      <c r="L25" s="16"/>
    </row>
    <row r="26" spans="1:12" x14ac:dyDescent="0.25">
      <c r="A26" s="1">
        <v>46138</v>
      </c>
      <c r="B26" s="8">
        <v>2.8799999999999999E-2</v>
      </c>
      <c r="C26" s="4" t="s">
        <v>6</v>
      </c>
      <c r="D26" s="4" t="str">
        <f>IF(B26&gt;$G$3,"NC","C")</f>
        <v>C</v>
      </c>
      <c r="F26" s="14"/>
      <c r="G26" s="15"/>
      <c r="H26" s="15"/>
      <c r="I26" s="15"/>
      <c r="J26" s="15"/>
      <c r="K26" s="15"/>
      <c r="L26" s="16"/>
    </row>
    <row r="27" spans="1:12" ht="15.75" thickBot="1" x14ac:dyDescent="0.3">
      <c r="A27" s="1">
        <v>46139</v>
      </c>
      <c r="B27" s="8">
        <v>2.9000000000000001E-2</v>
      </c>
      <c r="C27" s="4" t="s">
        <v>6</v>
      </c>
      <c r="D27" s="4" t="str">
        <f>IF(B27&gt;$G$3,"NC","C")</f>
        <v>C</v>
      </c>
      <c r="F27" s="17"/>
      <c r="G27" s="18"/>
      <c r="H27" s="18"/>
      <c r="I27" s="18"/>
      <c r="J27" s="18"/>
      <c r="K27" s="18"/>
      <c r="L27" s="19"/>
    </row>
    <row r="28" spans="1:12" x14ac:dyDescent="0.25">
      <c r="A28" s="1">
        <v>46140</v>
      </c>
      <c r="B28" s="8">
        <v>2.9000000000000001E-2</v>
      </c>
      <c r="C28" s="4" t="s">
        <v>6</v>
      </c>
      <c r="D28" s="4" t="str">
        <f>IF(B28&gt;$G$3,"NC","C")</f>
        <v>C</v>
      </c>
    </row>
    <row r="29" spans="1:12" x14ac:dyDescent="0.25">
      <c r="A29" s="1">
        <v>46141</v>
      </c>
      <c r="B29" s="8">
        <v>2.9000000000000001E-2</v>
      </c>
      <c r="C29" s="4" t="s">
        <v>6</v>
      </c>
      <c r="D29" s="4" t="str">
        <f>IF(B29&gt;$G$3,"NC","C")</f>
        <v>C</v>
      </c>
    </row>
    <row r="30" spans="1:12" x14ac:dyDescent="0.25">
      <c r="A30" s="1">
        <v>46142</v>
      </c>
      <c r="B30" s="8">
        <v>2.9000000000000001E-2</v>
      </c>
      <c r="C30" s="4" t="s">
        <v>6</v>
      </c>
      <c r="D30" s="4" t="str">
        <f>IF(B30&gt;$G$3,"NC","C")</f>
        <v>C</v>
      </c>
    </row>
    <row r="31" spans="1:12" x14ac:dyDescent="0.25">
      <c r="A31" s="1">
        <v>46143</v>
      </c>
      <c r="B31" s="8">
        <v>2.9000000000000001E-2</v>
      </c>
      <c r="C31" s="4" t="s">
        <v>6</v>
      </c>
      <c r="D31" s="4" t="str">
        <f>IF(B31&gt;$G$3,"NC","C")</f>
        <v>C</v>
      </c>
    </row>
    <row r="32" spans="1:12" x14ac:dyDescent="0.25">
      <c r="A32" s="1">
        <v>46144</v>
      </c>
      <c r="B32" s="8">
        <v>2.9000000000000001E-2</v>
      </c>
      <c r="C32" s="4" t="s">
        <v>6</v>
      </c>
      <c r="D32" s="4" t="str">
        <f>IF(B32&gt;$G$3,"NC","C")</f>
        <v>C</v>
      </c>
    </row>
    <row r="33" spans="1:4" x14ac:dyDescent="0.25">
      <c r="A33" s="1">
        <v>46145</v>
      </c>
      <c r="B33" s="8">
        <v>2.9000000000000001E-2</v>
      </c>
      <c r="C33" s="4" t="s">
        <v>6</v>
      </c>
      <c r="D33" s="4" t="str">
        <f>IF(B33&gt;$G$3,"NC","C")</f>
        <v>C</v>
      </c>
    </row>
    <row r="34" spans="1:4" x14ac:dyDescent="0.25">
      <c r="A34" s="1">
        <v>46146</v>
      </c>
      <c r="B34" s="8">
        <v>2.8400000000000002E-2</v>
      </c>
      <c r="C34" s="4" t="s">
        <v>6</v>
      </c>
      <c r="D34" s="4" t="str">
        <f>IF(B34&gt;$G$3,"NC","C")</f>
        <v>C</v>
      </c>
    </row>
    <row r="35" spans="1:4" x14ac:dyDescent="0.25">
      <c r="A35" s="1">
        <v>46147</v>
      </c>
      <c r="B35" s="8">
        <v>2.9000000000000001E-2</v>
      </c>
      <c r="C35" s="4" t="s">
        <v>6</v>
      </c>
      <c r="D35" s="4" t="str">
        <f>IF(B35&gt;$G$3,"NC","C")</f>
        <v>C</v>
      </c>
    </row>
    <row r="36" spans="1:4" x14ac:dyDescent="0.25">
      <c r="A36" s="1">
        <v>46148</v>
      </c>
      <c r="B36" s="8">
        <v>2.9000000000000001E-2</v>
      </c>
      <c r="C36" s="4" t="s">
        <v>6</v>
      </c>
      <c r="D36" s="4" t="str">
        <f>IF(B36&gt;$G$3,"NC","C")</f>
        <v>C</v>
      </c>
    </row>
    <row r="37" spans="1:4" x14ac:dyDescent="0.25">
      <c r="A37" s="1">
        <v>46149</v>
      </c>
      <c r="B37" s="8">
        <v>2.9000000000000001E-2</v>
      </c>
      <c r="C37" s="4" t="s">
        <v>6</v>
      </c>
      <c r="D37" s="4" t="str">
        <f>IF(B37&gt;$G$3,"NC","C")</f>
        <v>C</v>
      </c>
    </row>
    <row r="38" spans="1:4" x14ac:dyDescent="0.25">
      <c r="A38" s="1">
        <v>46150</v>
      </c>
      <c r="B38" s="8">
        <v>2.9000000000000001E-2</v>
      </c>
      <c r="C38" s="4" t="s">
        <v>6</v>
      </c>
      <c r="D38" s="4" t="str">
        <f>IF(B38&gt;$G$3,"NC","C")</f>
        <v>C</v>
      </c>
    </row>
    <row r="39" spans="1:4" x14ac:dyDescent="0.25">
      <c r="A39" s="1">
        <v>46151</v>
      </c>
      <c r="B39" s="8">
        <v>2.9000000000000001E-2</v>
      </c>
      <c r="C39" s="4" t="s">
        <v>6</v>
      </c>
      <c r="D39" s="4" t="str">
        <f>IF(B39&gt;$G$3,"NC","C")</f>
        <v>C</v>
      </c>
    </row>
    <row r="40" spans="1:4" x14ac:dyDescent="0.25">
      <c r="A40" s="1">
        <v>46152</v>
      </c>
      <c r="B40" s="8">
        <v>2.9000000000000001E-2</v>
      </c>
      <c r="C40" s="4" t="s">
        <v>6</v>
      </c>
      <c r="D40" s="4" t="str">
        <f>IF(B40&gt;$G$3,"NC","C")</f>
        <v>C</v>
      </c>
    </row>
    <row r="41" spans="1:4" x14ac:dyDescent="0.25">
      <c r="A41" s="1">
        <v>46153</v>
      </c>
      <c r="B41" s="8">
        <v>2.9000000000000001E-2</v>
      </c>
      <c r="C41" s="4" t="s">
        <v>6</v>
      </c>
      <c r="D41" s="4" t="str">
        <f>IF(B41&gt;$G$3,"NC","C")</f>
        <v>C</v>
      </c>
    </row>
    <row r="42" spans="1:4" x14ac:dyDescent="0.25">
      <c r="A42" s="1">
        <v>46154</v>
      </c>
      <c r="B42" s="8">
        <v>2.87E-2</v>
      </c>
      <c r="C42" s="4" t="s">
        <v>6</v>
      </c>
      <c r="D42" s="4" t="str">
        <f>IF(B42&gt;$G$3,"NC","C")</f>
        <v>C</v>
      </c>
    </row>
    <row r="43" spans="1:4" x14ac:dyDescent="0.25">
      <c r="A43" s="1">
        <v>46155</v>
      </c>
      <c r="B43" s="8">
        <v>2.9000000000000001E-2</v>
      </c>
      <c r="C43" s="4" t="s">
        <v>6</v>
      </c>
      <c r="D43" s="4" t="str">
        <f>IF(B43&gt;$G$3,"NC","C")</f>
        <v>C</v>
      </c>
    </row>
    <row r="44" spans="1:4" x14ac:dyDescent="0.25">
      <c r="A44" s="1">
        <v>46156</v>
      </c>
      <c r="B44" s="8">
        <v>2.9000000000000001E-2</v>
      </c>
      <c r="C44" s="4" t="s">
        <v>6</v>
      </c>
      <c r="D44" s="4" t="str">
        <f>IF(B44&gt;$G$3,"NC","C")</f>
        <v>C</v>
      </c>
    </row>
    <row r="45" spans="1:4" x14ac:dyDescent="0.25">
      <c r="A45" s="1">
        <v>46157</v>
      </c>
      <c r="B45" s="8">
        <v>2.9000000000000001E-2</v>
      </c>
      <c r="C45" s="4" t="s">
        <v>6</v>
      </c>
      <c r="D45" s="4" t="str">
        <f>IF(B45&gt;$G$3,"NC","C")</f>
        <v>C</v>
      </c>
    </row>
    <row r="46" spans="1:4" x14ac:dyDescent="0.25">
      <c r="A46" s="1">
        <v>46158</v>
      </c>
      <c r="B46" s="8">
        <v>2.9000000000000001E-2</v>
      </c>
      <c r="C46" s="4" t="s">
        <v>6</v>
      </c>
      <c r="D46" s="4" t="str">
        <f>IF(B46&gt;$G$3,"NC","C")</f>
        <v>C</v>
      </c>
    </row>
    <row r="47" spans="1:4" x14ac:dyDescent="0.25">
      <c r="A47" s="1">
        <v>46159</v>
      </c>
      <c r="B47" s="8">
        <v>2.9000000000000001E-2</v>
      </c>
      <c r="C47" s="4" t="s">
        <v>6</v>
      </c>
      <c r="D47" s="4" t="str">
        <f>IF(B47&gt;$G$3,"NC","C")</f>
        <v>C</v>
      </c>
    </row>
    <row r="48" spans="1:4" x14ac:dyDescent="0.25">
      <c r="A48" s="1">
        <v>46160</v>
      </c>
      <c r="B48" s="8">
        <v>2.9000000000000001E-2</v>
      </c>
      <c r="C48" s="4" t="s">
        <v>6</v>
      </c>
      <c r="D48" s="4" t="str">
        <f>IF(B48&gt;$G$3,"NC","C")</f>
        <v>C</v>
      </c>
    </row>
    <row r="49" spans="1:4" x14ac:dyDescent="0.25">
      <c r="A49" s="1">
        <v>46161</v>
      </c>
      <c r="B49" s="8">
        <v>2.9000000000000001E-2</v>
      </c>
      <c r="C49" s="4" t="s">
        <v>6</v>
      </c>
      <c r="D49" s="4" t="str">
        <f>IF(B49&gt;$G$3,"NC","C")</f>
        <v>C</v>
      </c>
    </row>
    <row r="50" spans="1:4" x14ac:dyDescent="0.25">
      <c r="A50" s="1">
        <v>46162</v>
      </c>
      <c r="B50" s="8">
        <v>2.8500000000000001E-2</v>
      </c>
      <c r="C50" s="4" t="s">
        <v>6</v>
      </c>
      <c r="D50" s="4" t="str">
        <f>IF(B50&gt;$G$3,"NC","C")</f>
        <v>C</v>
      </c>
    </row>
    <row r="51" spans="1:4" x14ac:dyDescent="0.25">
      <c r="A51" s="1">
        <v>46163</v>
      </c>
      <c r="B51" s="8">
        <v>2.9000000000000001E-2</v>
      </c>
      <c r="C51" s="4" t="s">
        <v>6</v>
      </c>
      <c r="D51" s="4" t="str">
        <f>IF(B51&gt;$G$3,"NC","C")</f>
        <v>C</v>
      </c>
    </row>
    <row r="52" spans="1:4" x14ac:dyDescent="0.25">
      <c r="A52" s="1">
        <v>46164</v>
      </c>
      <c r="B52" s="8">
        <v>2.9000000000000001E-2</v>
      </c>
      <c r="C52" s="4" t="s">
        <v>6</v>
      </c>
      <c r="D52" s="4" t="str">
        <f>IF(B52&gt;$G$3,"NC","C")</f>
        <v>C</v>
      </c>
    </row>
    <row r="53" spans="1:4" x14ac:dyDescent="0.25">
      <c r="A53" s="1">
        <v>46165</v>
      </c>
      <c r="B53" s="8">
        <v>2.9000000000000001E-2</v>
      </c>
      <c r="C53" s="4" t="s">
        <v>6</v>
      </c>
      <c r="D53" s="4" t="str">
        <f>IF(B53&gt;$G$3,"NC","C")</f>
        <v>C</v>
      </c>
    </row>
    <row r="54" spans="1:4" x14ac:dyDescent="0.25">
      <c r="A54" s="1">
        <v>46166</v>
      </c>
      <c r="B54" s="8">
        <v>2.9000000000000001E-2</v>
      </c>
      <c r="C54" s="4" t="s">
        <v>6</v>
      </c>
      <c r="D54" s="4" t="str">
        <f>IF(B54&gt;$G$3,"NC","C")</f>
        <v>C</v>
      </c>
    </row>
    <row r="55" spans="1:4" x14ac:dyDescent="0.25">
      <c r="A55" s="1">
        <v>46167</v>
      </c>
      <c r="B55" s="8">
        <v>2.9000000000000001E-2</v>
      </c>
      <c r="C55" s="4" t="s">
        <v>6</v>
      </c>
      <c r="D55" s="4" t="str">
        <f>IF(B55&gt;$G$3,"NC","C")</f>
        <v>C</v>
      </c>
    </row>
    <row r="56" spans="1:4" x14ac:dyDescent="0.25">
      <c r="A56" s="1">
        <v>46168</v>
      </c>
      <c r="B56" s="8">
        <v>2.9000000000000001E-2</v>
      </c>
      <c r="C56" s="4" t="s">
        <v>6</v>
      </c>
      <c r="D56" s="4" t="str">
        <f>IF(B56&gt;$G$3,"NC","C")</f>
        <v>C</v>
      </c>
    </row>
    <row r="57" spans="1:4" x14ac:dyDescent="0.25">
      <c r="A57" s="1">
        <v>46169</v>
      </c>
      <c r="B57" s="8">
        <v>2.9000000000000001E-2</v>
      </c>
      <c r="C57" s="4" t="s">
        <v>6</v>
      </c>
      <c r="D57" s="4" t="str">
        <f>IF(B57&gt;$G$3,"NC","C")</f>
        <v>C</v>
      </c>
    </row>
    <row r="58" spans="1:4" x14ac:dyDescent="0.25">
      <c r="A58" s="1">
        <v>46170</v>
      </c>
      <c r="B58" s="8">
        <v>2.8799999999999999E-2</v>
      </c>
      <c r="C58" s="4" t="s">
        <v>6</v>
      </c>
      <c r="D58" s="4" t="str">
        <f>IF(B58&gt;$G$3,"NC","C")</f>
        <v>C</v>
      </c>
    </row>
    <row r="59" spans="1:4" x14ac:dyDescent="0.25">
      <c r="A59" s="1">
        <v>46171</v>
      </c>
      <c r="B59" s="8">
        <v>2.9000000000000001E-2</v>
      </c>
      <c r="C59" s="4" t="s">
        <v>6</v>
      </c>
      <c r="D59" s="4" t="str">
        <f>IF(B59&gt;$G$3,"NC","C")</f>
        <v>C</v>
      </c>
    </row>
    <row r="60" spans="1:4" x14ac:dyDescent="0.25">
      <c r="A60" s="1">
        <v>46172</v>
      </c>
      <c r="B60" s="8">
        <v>2.9000000000000001E-2</v>
      </c>
      <c r="C60" s="4" t="s">
        <v>6</v>
      </c>
      <c r="D60" s="4" t="str">
        <f>IF(B60&gt;$G$3,"NC","C")</f>
        <v>C</v>
      </c>
    </row>
    <row r="61" spans="1:4" x14ac:dyDescent="0.25">
      <c r="A61" s="1">
        <v>46173</v>
      </c>
      <c r="B61" s="8">
        <v>2.9000000000000001E-2</v>
      </c>
      <c r="C61" s="4" t="s">
        <v>6</v>
      </c>
      <c r="D61" s="4" t="str">
        <f>IF(B61&gt;$G$3,"NC","C")</f>
        <v>C</v>
      </c>
    </row>
    <row r="62" spans="1:4" x14ac:dyDescent="0.25">
      <c r="A62" s="1">
        <v>46174</v>
      </c>
      <c r="B62" s="8">
        <v>2.9000000000000001E-2</v>
      </c>
      <c r="C62" s="4" t="s">
        <v>6</v>
      </c>
      <c r="D62" s="4" t="str">
        <f>IF(B62&gt;$G$3,"NC","C")</f>
        <v>C</v>
      </c>
    </row>
    <row r="63" spans="1:4" x14ac:dyDescent="0.25">
      <c r="A63" s="1">
        <v>46175</v>
      </c>
      <c r="B63" s="8">
        <v>2.9000000000000001E-2</v>
      </c>
      <c r="C63" s="4" t="s">
        <v>6</v>
      </c>
      <c r="D63" s="4" t="str">
        <f>IF(B63&gt;$G$3,"NC","C")</f>
        <v>C</v>
      </c>
    </row>
    <row r="64" spans="1:4" x14ac:dyDescent="0.25">
      <c r="A64" s="1">
        <v>46176</v>
      </c>
      <c r="B64" s="8">
        <v>2.9000000000000001E-2</v>
      </c>
      <c r="C64" s="4" t="s">
        <v>6</v>
      </c>
      <c r="D64" s="4" t="str">
        <f>IF(B64&gt;$G$3,"NC","C")</f>
        <v>C</v>
      </c>
    </row>
    <row r="65" spans="1:4" x14ac:dyDescent="0.25">
      <c r="A65" s="1">
        <v>46177</v>
      </c>
      <c r="B65" s="8">
        <v>2.9000000000000001E-2</v>
      </c>
      <c r="C65" s="4" t="s">
        <v>6</v>
      </c>
      <c r="D65" s="4" t="str">
        <f>IF(B65&gt;$G$3,"NC","C")</f>
        <v>C</v>
      </c>
    </row>
    <row r="66" spans="1:4" x14ac:dyDescent="0.25">
      <c r="A66" s="1">
        <v>46178</v>
      </c>
      <c r="B66" s="8">
        <v>2.86E-2</v>
      </c>
      <c r="C66" s="4" t="s">
        <v>6</v>
      </c>
      <c r="D66" s="4" t="str">
        <f>IF(B66&gt;$G$3,"NC","C")</f>
        <v>C</v>
      </c>
    </row>
    <row r="67" spans="1:4" x14ac:dyDescent="0.25">
      <c r="A67" s="1">
        <v>46179</v>
      </c>
      <c r="B67" s="8">
        <v>2.9000000000000001E-2</v>
      </c>
      <c r="C67" s="4" t="s">
        <v>6</v>
      </c>
      <c r="D67" s="4" t="str">
        <f>IF(B67&gt;$G$3,"NC","C")</f>
        <v>C</v>
      </c>
    </row>
    <row r="68" spans="1:4" x14ac:dyDescent="0.25">
      <c r="A68" s="1">
        <v>46180</v>
      </c>
      <c r="B68" s="8">
        <v>2.9000000000000001E-2</v>
      </c>
      <c r="C68" s="4" t="s">
        <v>6</v>
      </c>
      <c r="D68" s="4" t="str">
        <f>IF(B68&gt;$G$3,"NC","C")</f>
        <v>C</v>
      </c>
    </row>
    <row r="69" spans="1:4" x14ac:dyDescent="0.25">
      <c r="A69" s="1">
        <v>46181</v>
      </c>
      <c r="B69" s="8">
        <v>2.9000000000000001E-2</v>
      </c>
      <c r="C69" s="4" t="s">
        <v>6</v>
      </c>
      <c r="D69" s="4" t="str">
        <f>IF(B69&gt;$G$3,"NC","C")</f>
        <v>C</v>
      </c>
    </row>
    <row r="70" spans="1:4" x14ac:dyDescent="0.25">
      <c r="A70" s="1">
        <v>46182</v>
      </c>
      <c r="B70" s="8">
        <v>2.9000000000000001E-2</v>
      </c>
      <c r="C70" s="4" t="s">
        <v>6</v>
      </c>
      <c r="D70" s="4" t="str">
        <f>IF(B70&gt;$G$3,"NC","C")</f>
        <v>C</v>
      </c>
    </row>
    <row r="71" spans="1:4" x14ac:dyDescent="0.25">
      <c r="A71" s="1">
        <v>46183</v>
      </c>
      <c r="B71" s="8">
        <v>2.9000000000000001E-2</v>
      </c>
      <c r="C71" s="4" t="s">
        <v>6</v>
      </c>
      <c r="D71" s="4" t="str">
        <f>IF(B71&gt;$G$3,"NC","C")</f>
        <v>C</v>
      </c>
    </row>
    <row r="72" spans="1:4" x14ac:dyDescent="0.25">
      <c r="A72" s="1">
        <v>46184</v>
      </c>
      <c r="B72" s="8">
        <v>2.9000000000000001E-2</v>
      </c>
      <c r="C72" s="4" t="s">
        <v>6</v>
      </c>
      <c r="D72" s="4" t="str">
        <f>IF(B72&gt;$G$3,"NC","C")</f>
        <v>C</v>
      </c>
    </row>
    <row r="73" spans="1:4" x14ac:dyDescent="0.25">
      <c r="A73" s="1">
        <v>46185</v>
      </c>
      <c r="B73" s="8">
        <v>2.9000000000000001E-2</v>
      </c>
      <c r="C73" s="4" t="s">
        <v>6</v>
      </c>
      <c r="D73" s="4" t="str">
        <f>IF(B73&gt;$G$3,"NC","C")</f>
        <v>C</v>
      </c>
    </row>
    <row r="74" spans="1:4" x14ac:dyDescent="0.25">
      <c r="A74" s="1">
        <v>46186</v>
      </c>
      <c r="B74" s="8">
        <v>2.87E-2</v>
      </c>
      <c r="C74" s="4" t="s">
        <v>6</v>
      </c>
      <c r="D74" s="4" t="str">
        <f>IF(B74&gt;$G$3,"NC","C")</f>
        <v>C</v>
      </c>
    </row>
    <row r="75" spans="1:4" x14ac:dyDescent="0.25">
      <c r="A75" s="1">
        <v>46187</v>
      </c>
      <c r="B75" s="8">
        <v>2.9000000000000001E-2</v>
      </c>
      <c r="C75" s="4" t="s">
        <v>6</v>
      </c>
      <c r="D75" s="4" t="str">
        <f>IF(B75&gt;$G$3,"NC","C")</f>
        <v>C</v>
      </c>
    </row>
    <row r="76" spans="1:4" x14ac:dyDescent="0.25">
      <c r="A76" s="1">
        <v>46188</v>
      </c>
      <c r="B76" s="8">
        <v>2.9000000000000001E-2</v>
      </c>
      <c r="C76" s="4" t="s">
        <v>6</v>
      </c>
      <c r="D76" s="4" t="str">
        <f>IF(B76&gt;$G$3,"NC","C")</f>
        <v>C</v>
      </c>
    </row>
    <row r="77" spans="1:4" x14ac:dyDescent="0.25">
      <c r="A77" s="1">
        <v>46189</v>
      </c>
      <c r="B77" s="8">
        <v>2.9000000000000001E-2</v>
      </c>
      <c r="C77" s="4" t="s">
        <v>6</v>
      </c>
      <c r="D77" s="4" t="str">
        <f>IF(B77&gt;$G$3,"NC","C")</f>
        <v>C</v>
      </c>
    </row>
    <row r="78" spans="1:4" x14ac:dyDescent="0.25">
      <c r="A78" s="1">
        <v>46190</v>
      </c>
      <c r="B78" s="8">
        <v>2.9000000000000001E-2</v>
      </c>
      <c r="C78" s="4" t="s">
        <v>6</v>
      </c>
      <c r="D78" s="4" t="str">
        <f>IF(B78&gt;$G$3,"NC","C")</f>
        <v>C</v>
      </c>
    </row>
    <row r="79" spans="1:4" x14ac:dyDescent="0.25">
      <c r="A79" s="1">
        <v>46191</v>
      </c>
      <c r="B79" s="8">
        <v>2.9000000000000001E-2</v>
      </c>
      <c r="C79" s="4" t="s">
        <v>6</v>
      </c>
      <c r="D79" s="4" t="str">
        <f>IF(B79&gt;$G$3,"NC","C")</f>
        <v>C</v>
      </c>
    </row>
    <row r="80" spans="1:4" x14ac:dyDescent="0.25">
      <c r="A80" s="1">
        <v>46192</v>
      </c>
      <c r="B80" s="8">
        <v>2.9000000000000001E-2</v>
      </c>
      <c r="C80" s="4" t="s">
        <v>6</v>
      </c>
      <c r="D80" s="4" t="str">
        <f>IF(B80&gt;$G$3,"NC","C")</f>
        <v>C</v>
      </c>
    </row>
    <row r="81" spans="1:4" x14ac:dyDescent="0.25">
      <c r="A81" s="1">
        <v>46193</v>
      </c>
      <c r="B81" s="8">
        <v>2.9000000000000001E-2</v>
      </c>
      <c r="C81" s="4" t="s">
        <v>6</v>
      </c>
      <c r="D81" s="4" t="str">
        <f>IF(B81&gt;$G$3,"NC","C")</f>
        <v>C</v>
      </c>
    </row>
    <row r="82" spans="1:4" x14ac:dyDescent="0.25">
      <c r="A82" s="1">
        <v>46194</v>
      </c>
      <c r="B82" s="8">
        <v>2.8500000000000001E-2</v>
      </c>
      <c r="C82" s="4" t="s">
        <v>6</v>
      </c>
      <c r="D82" s="4" t="str">
        <f>IF(B82&gt;$G$3,"NC","C")</f>
        <v>C</v>
      </c>
    </row>
    <row r="83" spans="1:4" x14ac:dyDescent="0.25">
      <c r="A83" s="1">
        <v>46195</v>
      </c>
      <c r="B83" s="8">
        <v>2.9000000000000001E-2</v>
      </c>
      <c r="C83" s="4" t="s">
        <v>6</v>
      </c>
      <c r="D83" s="4" t="str">
        <f>IF(B83&gt;$G$3,"NC","C")</f>
        <v>C</v>
      </c>
    </row>
    <row r="84" spans="1:4" x14ac:dyDescent="0.25">
      <c r="A84" s="1">
        <v>46196</v>
      </c>
      <c r="B84" s="8">
        <v>2.9000000000000001E-2</v>
      </c>
      <c r="C84" s="4" t="s">
        <v>6</v>
      </c>
      <c r="D84" s="4" t="str">
        <f>IF(B84&gt;$G$3,"NC","C")</f>
        <v>C</v>
      </c>
    </row>
    <row r="85" spans="1:4" x14ac:dyDescent="0.25">
      <c r="A85" s="1">
        <v>46197</v>
      </c>
      <c r="B85" s="8">
        <v>2.9000000000000001E-2</v>
      </c>
      <c r="C85" s="4" t="s">
        <v>6</v>
      </c>
      <c r="D85" s="4" t="str">
        <f>IF(B85&gt;$G$3,"NC","C")</f>
        <v>C</v>
      </c>
    </row>
    <row r="86" spans="1:4" x14ac:dyDescent="0.25">
      <c r="A86" s="1">
        <v>46198</v>
      </c>
      <c r="B86" s="8">
        <v>2.9000000000000001E-2</v>
      </c>
      <c r="C86" s="4" t="s">
        <v>6</v>
      </c>
      <c r="D86" s="4" t="str">
        <f>IF(B86&gt;$G$3,"NC","C")</f>
        <v>C</v>
      </c>
    </row>
    <row r="87" spans="1:4" x14ac:dyDescent="0.25">
      <c r="A87" s="1">
        <v>46199</v>
      </c>
      <c r="B87" s="8">
        <v>2.9000000000000001E-2</v>
      </c>
      <c r="C87" s="4" t="s">
        <v>6</v>
      </c>
      <c r="D87" s="4" t="str">
        <f>IF(B87&gt;$G$3,"NC","C")</f>
        <v>C</v>
      </c>
    </row>
    <row r="88" spans="1:4" x14ac:dyDescent="0.25">
      <c r="A88" s="1">
        <v>46200</v>
      </c>
      <c r="B88" s="8">
        <v>2.9000000000000001E-2</v>
      </c>
      <c r="C88" s="4" t="s">
        <v>6</v>
      </c>
      <c r="D88" s="4" t="str">
        <f>IF(B88&gt;$G$3,"NC","C")</f>
        <v>C</v>
      </c>
    </row>
    <row r="89" spans="1:4" x14ac:dyDescent="0.25">
      <c r="A89" s="1">
        <v>46201</v>
      </c>
      <c r="B89" s="8">
        <v>2.9000000000000001E-2</v>
      </c>
      <c r="C89" s="4" t="s">
        <v>6</v>
      </c>
      <c r="D89" s="4" t="str">
        <f>IF(B89&gt;$G$3,"NC","C")</f>
        <v>C</v>
      </c>
    </row>
    <row r="90" spans="1:4" x14ac:dyDescent="0.25">
      <c r="A90" s="1">
        <v>46202</v>
      </c>
      <c r="B90" s="8">
        <v>2.8799999999999999E-2</v>
      </c>
      <c r="C90" s="4" t="s">
        <v>6</v>
      </c>
      <c r="D90" s="4" t="str">
        <f>IF(B90&gt;$G$3,"NC","C")</f>
        <v>C</v>
      </c>
    </row>
    <row r="91" spans="1:4" x14ac:dyDescent="0.25">
      <c r="A91" s="1">
        <v>46203</v>
      </c>
      <c r="B91" s="8">
        <v>2.9000000000000001E-2</v>
      </c>
      <c r="C91" s="4" t="s">
        <v>6</v>
      </c>
      <c r="D91" s="4" t="str">
        <f>IF(B91&gt;$G$3,"NC","C")</f>
        <v>C</v>
      </c>
    </row>
    <row r="92" spans="1:4" x14ac:dyDescent="0.25">
      <c r="A92" s="1">
        <v>46204</v>
      </c>
      <c r="B92" s="8">
        <v>2.9000000000000001E-2</v>
      </c>
      <c r="C92" s="4" t="s">
        <v>7</v>
      </c>
      <c r="D92" s="4" t="str">
        <f>IF(B92&gt;$G$3,"NC","C")</f>
        <v>C</v>
      </c>
    </row>
  </sheetData>
  <mergeCells count="5">
    <mergeCell ref="F6:G6"/>
    <mergeCell ref="F14:L14"/>
    <mergeCell ref="F22:L22"/>
    <mergeCell ref="F23:L27"/>
    <mergeCell ref="F15:L18"/>
  </mergeCell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91Days pre implementation data</vt:lpstr>
      <vt:lpstr>50-50 Pre Post Data</vt:lpstr>
      <vt:lpstr>91Days post implementation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Parth Joshi</dc:creator>
  <cp:lastModifiedBy>Parth Joshi</cp:lastModifiedBy>
  <dcterms:created xsi:type="dcterms:W3CDTF">2026-07-13T01:18:43Z</dcterms:created>
  <dcterms:modified xsi:type="dcterms:W3CDTF">2026-07-27T14:31:47Z</dcterms:modified>
</cp:coreProperties>
</file>